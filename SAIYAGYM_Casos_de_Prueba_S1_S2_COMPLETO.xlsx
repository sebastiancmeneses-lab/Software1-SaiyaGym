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05fb7c6a5d17fb4/Documentos/Software 1/Proyecto/CASOS DE PRUEBA/EXCEL/"/>
    </mc:Choice>
  </mc:AlternateContent>
  <xr:revisionPtr revIDLastSave="31" documentId="11_C91217FF08AE21155CEBC756E6BC5CDC9B6A6EDE" xr6:coauthVersionLast="47" xr6:coauthVersionMax="47" xr10:uidLastSave="{9C0E3134-0144-4EF1-A8AD-00A0F0BC46B9}"/>
  <bookViews>
    <workbookView xWindow="-108" yWindow="-108" windowWidth="23256" windowHeight="12456" tabRatio="500" firstSheet="2" activeTab="9" xr2:uid="{00000000-000D-0000-FFFF-FFFF00000000}"/>
  </bookViews>
  <sheets>
    <sheet name="Guía" sheetId="1" r:id="rId1"/>
    <sheet name="Resumen" sheetId="2" r:id="rId2"/>
    <sheet name="E1-HU1" sheetId="3" r:id="rId3"/>
    <sheet name="E1-HU2" sheetId="4" r:id="rId4"/>
    <sheet name="E1-HU3" sheetId="5" r:id="rId5"/>
    <sheet name="E1-HU4" sheetId="6" r:id="rId6"/>
    <sheet name="E2-HU1" sheetId="7" r:id="rId7"/>
    <sheet name="E2-HU2" sheetId="8" r:id="rId8"/>
    <sheet name="E2-HU3" sheetId="9" r:id="rId9"/>
    <sheet name="E2-HU4" sheetId="10" r:id="rId10"/>
    <sheet name="Formato en blanco" sheetId="11" r:id="rId11"/>
  </sheets>
  <definedNames>
    <definedName name="_xlnm.Print_Titles" localSheetId="2">'E1-HU1'!$18:$18</definedName>
    <definedName name="_xlnm.Print_Titles" localSheetId="3">'E1-HU2'!$18:$18</definedName>
    <definedName name="_xlnm.Print_Titles" localSheetId="4">'E1-HU3'!$18:$18</definedName>
    <definedName name="_xlnm.Print_Titles" localSheetId="5">'E1-HU4'!$18:$18</definedName>
    <definedName name="_xlnm.Print_Titles" localSheetId="6">'E2-HU1'!$18:$18</definedName>
    <definedName name="_xlnm.Print_Titles" localSheetId="7">'E2-HU2'!$18:$18</definedName>
    <definedName name="_xlnm.Print_Titles" localSheetId="8">'E2-HU3'!$18:$18</definedName>
    <definedName name="_xlnm.Print_Titles" localSheetId="9">'E2-HU4'!$18:$18</definedName>
    <definedName name="_xlnm.Print_Titles" localSheetId="10">'Formato en blanco'!$18:$18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11" l="1"/>
  <c r="F15" i="11"/>
  <c r="B15" i="11"/>
  <c r="F14" i="11"/>
  <c r="B14" i="11"/>
  <c r="F13" i="11"/>
  <c r="B13" i="11"/>
  <c r="F12" i="11"/>
  <c r="B12" i="11"/>
  <c r="B16" i="11" s="1"/>
  <c r="F8" i="11"/>
  <c r="F7" i="11"/>
  <c r="F6" i="11"/>
  <c r="F5" i="11"/>
  <c r="F11" i="11" s="1"/>
  <c r="F16" i="10"/>
  <c r="F15" i="10"/>
  <c r="B15" i="10"/>
  <c r="F14" i="10"/>
  <c r="B14" i="10"/>
  <c r="F13" i="10"/>
  <c r="B13" i="10"/>
  <c r="F12" i="10"/>
  <c r="B12" i="10"/>
  <c r="B16" i="10" s="1"/>
  <c r="F8" i="10"/>
  <c r="F7" i="10"/>
  <c r="F6" i="10"/>
  <c r="F5" i="10"/>
  <c r="F16" i="9"/>
  <c r="B16" i="9"/>
  <c r="F15" i="9"/>
  <c r="B15" i="9"/>
  <c r="F14" i="9"/>
  <c r="B14" i="9"/>
  <c r="F13" i="9"/>
  <c r="F11" i="2" s="1"/>
  <c r="B13" i="9"/>
  <c r="F12" i="9"/>
  <c r="E11" i="2" s="1"/>
  <c r="K11" i="2" s="1"/>
  <c r="B12" i="9"/>
  <c r="F8" i="9"/>
  <c r="I11" i="2" s="1"/>
  <c r="F7" i="9"/>
  <c r="H11" i="2" s="1"/>
  <c r="F6" i="9"/>
  <c r="F5" i="9"/>
  <c r="F16" i="8"/>
  <c r="F15" i="8"/>
  <c r="B15" i="8"/>
  <c r="F14" i="8"/>
  <c r="B14" i="8"/>
  <c r="F13" i="8"/>
  <c r="F10" i="2" s="1"/>
  <c r="B13" i="8"/>
  <c r="F12" i="8"/>
  <c r="E10" i="2" s="1"/>
  <c r="K10" i="2" s="1"/>
  <c r="B12" i="8"/>
  <c r="B16" i="8" s="1"/>
  <c r="F8" i="8"/>
  <c r="I10" i="2" s="1"/>
  <c r="F7" i="8"/>
  <c r="H10" i="2" s="1"/>
  <c r="F6" i="8"/>
  <c r="F5" i="8"/>
  <c r="F16" i="7"/>
  <c r="F15" i="7"/>
  <c r="B15" i="7"/>
  <c r="F14" i="7"/>
  <c r="B14" i="7"/>
  <c r="B16" i="7" s="1"/>
  <c r="F13" i="7"/>
  <c r="F9" i="2" s="1"/>
  <c r="B13" i="7"/>
  <c r="F12" i="7"/>
  <c r="E9" i="2" s="1"/>
  <c r="K9" i="2" s="1"/>
  <c r="B12" i="7"/>
  <c r="F8" i="7"/>
  <c r="I9" i="2" s="1"/>
  <c r="F7" i="7"/>
  <c r="H9" i="2" s="1"/>
  <c r="F6" i="7"/>
  <c r="F5" i="7"/>
  <c r="F16" i="6"/>
  <c r="F15" i="6"/>
  <c r="B15" i="6"/>
  <c r="F14" i="6"/>
  <c r="B14" i="6"/>
  <c r="F13" i="6"/>
  <c r="F8" i="2" s="1"/>
  <c r="B13" i="6"/>
  <c r="B16" i="6" s="1"/>
  <c r="F12" i="6"/>
  <c r="E8" i="2" s="1"/>
  <c r="K8" i="2" s="1"/>
  <c r="B12" i="6"/>
  <c r="F8" i="6"/>
  <c r="I8" i="2" s="1"/>
  <c r="F7" i="6"/>
  <c r="H8" i="2" s="1"/>
  <c r="F6" i="6"/>
  <c r="F5" i="6"/>
  <c r="F16" i="5"/>
  <c r="F15" i="5"/>
  <c r="B15" i="5"/>
  <c r="F14" i="5"/>
  <c r="B14" i="5"/>
  <c r="F13" i="5"/>
  <c r="F7" i="2" s="1"/>
  <c r="B13" i="5"/>
  <c r="F12" i="5"/>
  <c r="E7" i="2" s="1"/>
  <c r="K7" i="2" s="1"/>
  <c r="B12" i="5"/>
  <c r="B16" i="5" s="1"/>
  <c r="F8" i="5"/>
  <c r="I7" i="2" s="1"/>
  <c r="F7" i="5"/>
  <c r="H7" i="2" s="1"/>
  <c r="F6" i="5"/>
  <c r="F5" i="5"/>
  <c r="F16" i="4"/>
  <c r="F15" i="4"/>
  <c r="B15" i="4"/>
  <c r="F14" i="4"/>
  <c r="B14" i="4"/>
  <c r="F13" i="4"/>
  <c r="F6" i="2" s="1"/>
  <c r="B13" i="4"/>
  <c r="F12" i="4"/>
  <c r="E6" i="2" s="1"/>
  <c r="B12" i="4"/>
  <c r="B16" i="4" s="1"/>
  <c r="F8" i="4"/>
  <c r="I6" i="2" s="1"/>
  <c r="F7" i="4"/>
  <c r="H6" i="2" s="1"/>
  <c r="F6" i="4"/>
  <c r="F5" i="4"/>
  <c r="F16" i="3"/>
  <c r="F15" i="3"/>
  <c r="B15" i="3"/>
  <c r="F14" i="3"/>
  <c r="B14" i="3"/>
  <c r="F13" i="3"/>
  <c r="F5" i="2" s="1"/>
  <c r="B13" i="3"/>
  <c r="F12" i="3"/>
  <c r="E5" i="2" s="1"/>
  <c r="B12" i="3"/>
  <c r="B16" i="3" s="1"/>
  <c r="F10" i="3"/>
  <c r="F9" i="3"/>
  <c r="F8" i="3"/>
  <c r="I5" i="2" s="1"/>
  <c r="F7" i="3"/>
  <c r="H5" i="2" s="1"/>
  <c r="F6" i="3"/>
  <c r="G5" i="2" s="1"/>
  <c r="F5" i="3"/>
  <c r="I12" i="2"/>
  <c r="H12" i="2"/>
  <c r="G12" i="2"/>
  <c r="F12" i="2"/>
  <c r="E12" i="2"/>
  <c r="K12" i="2" s="1"/>
  <c r="F10" i="11" l="1"/>
  <c r="F9" i="11"/>
  <c r="F10" i="10"/>
  <c r="F9" i="10"/>
  <c r="F11" i="10"/>
  <c r="J12" i="2" s="1"/>
  <c r="D12" i="2"/>
  <c r="F10" i="9"/>
  <c r="F9" i="9"/>
  <c r="G11" i="2"/>
  <c r="F11" i="9"/>
  <c r="J11" i="2" s="1"/>
  <c r="D11" i="2"/>
  <c r="F9" i="8"/>
  <c r="F10" i="8"/>
  <c r="G10" i="2"/>
  <c r="F11" i="8"/>
  <c r="J10" i="2" s="1"/>
  <c r="D10" i="2"/>
  <c r="G9" i="2"/>
  <c r="F9" i="7"/>
  <c r="F10" i="7"/>
  <c r="D9" i="2"/>
  <c r="F11" i="7"/>
  <c r="J9" i="2" s="1"/>
  <c r="G8" i="2"/>
  <c r="F9" i="6"/>
  <c r="F10" i="6"/>
  <c r="D8" i="2"/>
  <c r="F11" i="6"/>
  <c r="J8" i="2" s="1"/>
  <c r="F9" i="5"/>
  <c r="F10" i="5"/>
  <c r="G7" i="2"/>
  <c r="F11" i="5"/>
  <c r="J7" i="2" s="1"/>
  <c r="D7" i="2"/>
  <c r="F10" i="4"/>
  <c r="G6" i="2"/>
  <c r="G13" i="2" s="1"/>
  <c r="F9" i="4"/>
  <c r="D6" i="2"/>
  <c r="F11" i="4"/>
  <c r="J6" i="2" s="1"/>
  <c r="K5" i="2"/>
  <c r="E13" i="2"/>
  <c r="D5" i="2"/>
  <c r="D13" i="2" s="1"/>
  <c r="F11" i="3"/>
  <c r="J5" i="2" s="1"/>
  <c r="J13" i="2" s="1"/>
  <c r="K6" i="2"/>
  <c r="F13" i="2"/>
  <c r="I13" i="2"/>
  <c r="H13" i="2"/>
</calcChain>
</file>

<file path=xl/sharedStrings.xml><?xml version="1.0" encoding="utf-8"?>
<sst xmlns="http://schemas.openxmlformats.org/spreadsheetml/2006/main" count="1431" uniqueCount="483">
  <si>
    <t>Casos de prueba (CP) — Guía del formato</t>
  </si>
  <si>
    <t>HOJAS</t>
  </si>
  <si>
    <t>Resumen</t>
  </si>
  <si>
    <t>Una fila por historia: CP diseñados, positivos, negativos, ejecutados, OK/NOK y si cumple el mínimo de la profe.</t>
  </si>
  <si>
    <t>E1-HU1 … E2-HU4</t>
  </si>
  <si>
    <t>Una hoja por historia de usuario de los Sprints 1 y 2, con los casos escritos con datos reales de SAIYAGYM y los mensajes exactos que muestra el sistema.</t>
  </si>
  <si>
    <t>Formato en blanco</t>
  </si>
  <si>
    <t>Plantilla vacía para las historias de los siguientes sprints.</t>
  </si>
  <si>
    <t>TIPO DE PRUEBA</t>
  </si>
  <si>
    <t>Funcionales</t>
  </si>
  <si>
    <t>Prueban lo que el sistema debe hacer según cada historia y sus criterios de aceptación, sin mirar el código. Este formato es de ese tipo. Las pruebas unitarias las hace el desarrollador en el código, y las de aceptación las valida el cliente.</t>
  </si>
  <si>
    <t>CÓMO LEER UNA HOJA</t>
  </si>
  <si>
    <t>Generalidades</t>
  </si>
  <si>
    <t>Fecha, historia (HU), módulo, No. SP, iteración y tipo de prueba. Amarillo = para completar.</t>
  </si>
  <si>
    <t>Alcance</t>
  </si>
  <si>
    <t>Cuántos CP tiene cada criterio de aceptación (CA). Se cuenta solo, leyendo el ID_CP.</t>
  </si>
  <si>
    <t>ID_CP</t>
  </si>
  <si>
    <t>HE1_HU1_CA1_CP001 = Épica 1, historia 1, criterio de aceptación 1, caso 001.</t>
  </si>
  <si>
    <t>Campos / Valores</t>
  </si>
  <si>
    <t>Cada dato que se ingresa (o se hace) y el valor exacto que se usa. Los renglones del mismo CP están agrupados.</t>
  </si>
  <si>
    <t>Sentido (+/-)</t>
  </si>
  <si>
    <t>Positivo (+): el dato es válido y debe salir bien. Negativo (-): el dato es inválido o la situación no permite la acción y el sistema debe rechazarla.</t>
  </si>
  <si>
    <t>Resultado esperado</t>
  </si>
  <si>
    <t>«Entonces CAn» + lo que dice el criterio + el mensaje exacto de la pantalla.</t>
  </si>
  <si>
    <t>Observación</t>
  </si>
  <si>
    <t>Precondición (qué debe existir antes), cómo probarlo (pantalla, API o base de datos) y si el CP es adicional al criterio.</t>
  </si>
  <si>
    <t>Al ejecutar</t>
  </si>
  <si>
    <t>Pasos</t>
  </si>
  <si>
    <t>Elige OK o NOK en «Resultado real». Pon el enlace de la evidencia (captura o video) o describe el fallo. Si es NOK, elige el nivel del error (Baja, Media, Alta). Las estadísticas se actualizan solas.</t>
  </si>
  <si>
    <t>Orden de ejecución</t>
  </si>
  <si>
    <t>Algunos CP dependen de otros (ej. E2-HU2 usa las rutinas de E2-HU1). Se ejecutan en el orden E1-HU1 → E2-HU4; la columna Observación lo indica.</t>
  </si>
  <si>
    <t>Casos con preparación en la base de datos</t>
  </si>
  <si>
    <t>«Usuario no encontrado» (E1-HU2 y E1-HU4) y «Rutina no encontrada» (E2-HU3): se deja el registro abierto en pantalla, se borra de la base de datos con SQL y luego se pulsa Guardar o Inactivar. «Rutina no disponible» (E2-HU4) se prepara con un UPDATE. Los pasos están en los documentos Pasos_.</t>
  </si>
  <si>
    <t>PARA CONFIRMAR CON LA PROFESORA</t>
  </si>
  <si>
    <t>1</t>
  </si>
  <si>
    <t>¿«No. SP» es número de sprint o puntos de la historia? Lo dejé libre.</t>
  </si>
  <si>
    <t>2</t>
  </si>
  <si>
    <t>El «=PU» junto al ID y el esquema de la derecha de la pizarra («X3CP», «Ex», «Rg») no se leían con certeza; no los apliqué.</t>
  </si>
  <si>
    <t>3</t>
  </si>
  <si>
    <t>La regla «mínimo 2 positivos y 1 negativo» la apliqué por historia (el Resumen la verifica). Si es por criterio de aceptación, hay que agregar CP en los criterios que son solo negativos (ej. «Usuario duplicado»).</t>
  </si>
  <si>
    <t>4</t>
  </si>
  <si>
    <t>Los CP marcados «CP adicional» van más allá del criterio (validar formato de correo, contraseña, límites). Se pueden borrar si prefieren ceñirse a los criterios.</t>
  </si>
  <si>
    <t>5</t>
  </si>
  <si>
    <t>Nivel del error: Baja / Media / Alta (en la pizarra se ve «Baja»). Si usan otra escala, se cambia en la lista de la columna.</t>
  </si>
  <si>
    <t>6</t>
  </si>
  <si>
    <t>Los CP no están ejecutados: Resultado real, evidencia, nivel del error quedan en blanco hasta correr las pruebas.</t>
  </si>
  <si>
    <t>7</t>
  </si>
  <si>
    <t>En el sistema, las historias E1-HU2 y E1-HU3 están numeradas al revés que en el documento de HU (en código: HU2 = consultar, HU3 = actualizar). Aquí se usó la numeración del documento de HU.</t>
  </si>
  <si>
    <t>RESUMEN DE CASOS DE PRUEBA — SAIYAGYM · Sprint 1 y Sprint 2</t>
  </si>
  <si>
    <t>Todo se calcula con fórmulas desde cada hoja de historia. Regla de la profe: mínimo 2 positivos y 1 negativo por historia.</t>
  </si>
  <si>
    <t>Historia</t>
  </si>
  <si>
    <t>Nombre</t>
  </si>
  <si>
    <t>Sprint</t>
  </si>
  <si>
    <t>CP diseñados</t>
  </si>
  <si>
    <t>Positivos (+)</t>
  </si>
  <si>
    <t>Negativos (-)</t>
  </si>
  <si>
    <t>Ejecutados</t>
  </si>
  <si>
    <t>OK</t>
  </si>
  <si>
    <t>NOK</t>
  </si>
  <si>
    <t>Pendientes</t>
  </si>
  <si>
    <t>¿Cumple mínimo 2(+) y 1(-)?</t>
  </si>
  <si>
    <t>E1-HU1</t>
  </si>
  <si>
    <t>Registrar usuarios</t>
  </si>
  <si>
    <t>Sprint 1</t>
  </si>
  <si>
    <t>E1-HU2</t>
  </si>
  <si>
    <t>Actualizar información de usuarios</t>
  </si>
  <si>
    <t>E1-HU3</t>
  </si>
  <si>
    <t>Consultar información de usuarios</t>
  </si>
  <si>
    <t>E1-HU4</t>
  </si>
  <si>
    <t>Gestionar estado de usuarios</t>
  </si>
  <si>
    <t>E2-HU1</t>
  </si>
  <si>
    <t>Crear rutina de entrenamiento</t>
  </si>
  <si>
    <t>Sprint 2</t>
  </si>
  <si>
    <t>E2-HU2</t>
  </si>
  <si>
    <t>Asignar rutina a usuario</t>
  </si>
  <si>
    <t>E2-HU3</t>
  </si>
  <si>
    <t>Modificar rutina de entrenamiento</t>
  </si>
  <si>
    <t>E2-HU4</t>
  </si>
  <si>
    <t>Consultar rutina asignada</t>
  </si>
  <si>
    <t>TOTAL</t>
  </si>
  <si>
    <t>Nota: Sprint 1 = E1 (usuarios) y Sprint 2 = E2 (rutinas), según el orden del alcance del proyecto. Si la profe cuenta los sprints distinto, solo cambia la columna Sprint.</t>
  </si>
  <si>
    <t>DISEÑO DE CASOS DE PRUEBA (CP) — SAIYAGYM · E1-HU1 Registrar usuarios</t>
  </si>
  <si>
    <t>Rol que ejecuta: Administrador. Celdas amarillas = para completar al ejecutar. Alcance y estadísticas se calculan solos.</t>
  </si>
  <si>
    <t>GENERALIDADES DE LA PRUEBA</t>
  </si>
  <si>
    <t>ESTADÍSTICAS</t>
  </si>
  <si>
    <t>Fecha</t>
  </si>
  <si>
    <t>2026-10-20</t>
  </si>
  <si>
    <t>Total CP diseñados</t>
  </si>
  <si>
    <t>HU</t>
  </si>
  <si>
    <t>E1-HU1 — Registrar usuarios</t>
  </si>
  <si>
    <t>Total CP ejecutados (OK + NOK)</t>
  </si>
  <si>
    <t>Módulo</t>
  </si>
  <si>
    <t>Gestión de usuarios (Sprint 1)</t>
  </si>
  <si>
    <t>CP con resultado OK</t>
  </si>
  <si>
    <t>No. SP</t>
  </si>
  <si>
    <t>CP con resultado NOK</t>
  </si>
  <si>
    <t>Iteración</t>
  </si>
  <si>
    <t>% OK sobre ejecutados</t>
  </si>
  <si>
    <t>Tipo de prueba</t>
  </si>
  <si>
    <t>Funcional</t>
  </si>
  <si>
    <t>% NOK sobre ejecutados</t>
  </si>
  <si>
    <t>Alcance (CP por criterio de aceptación)</t>
  </si>
  <si>
    <t>CP pendientes de ejecutar</t>
  </si>
  <si>
    <t>CA1 · Registro exitoso</t>
  </si>
  <si>
    <t>CP positivos (+)</t>
  </si>
  <si>
    <t>CA2 · Campos obligatorios incompletos</t>
  </si>
  <si>
    <t>CP negativos (-)</t>
  </si>
  <si>
    <t>CA3 · Usuario duplicado</t>
  </si>
  <si>
    <t>Errores de nivel Baja</t>
  </si>
  <si>
    <t>CA4</t>
  </si>
  <si>
    <t>Errores de nivel Media</t>
  </si>
  <si>
    <t>Total CP</t>
  </si>
  <si>
    <t>Errores de nivel Alta</t>
  </si>
  <si>
    <t>DETALLE (CP)</t>
  </si>
  <si>
    <t>Campos</t>
  </si>
  <si>
    <t>Valores</t>
  </si>
  <si>
    <t>Resultado real (OK / NOK)</t>
  </si>
  <si>
    <t>Evidencia (enlace) o descripción del fallo</t>
  </si>
  <si>
    <t>Tipo / Nivel del error</t>
  </si>
  <si>
    <t>HE1_HU1_CA1_CP001</t>
  </si>
  <si>
    <t>Nombre completo</t>
  </si>
  <si>
    <t>Pedro Ruiz</t>
  </si>
  <si>
    <t>Positivo (+)</t>
  </si>
  <si>
    <t>Entonces CA1: el sistema crea el usuario y muestra «Usuario registrado correctamente.»</t>
  </si>
  <si>
    <t>Precondición: sesión de administrador, pantalla Usuarios. Caso base. Queda registrado el documento 55550001 (lo usan otros CP).</t>
  </si>
  <si>
    <t>Número de documento</t>
  </si>
  <si>
    <t>55550001</t>
  </si>
  <si>
    <t>Teléfono</t>
  </si>
  <si>
    <t>3101234567</t>
  </si>
  <si>
    <t>Correo electrónico</t>
  </si>
  <si>
    <t>pedro@mail.com</t>
  </si>
  <si>
    <t>Rol</t>
  </si>
  <si>
    <t>usuario</t>
  </si>
  <si>
    <t>Contraseña</t>
  </si>
  <si>
    <t>Clave12345</t>
  </si>
  <si>
    <t>HE1_HU1_CA1_CP002</t>
  </si>
  <si>
    <t>Laura Mora</t>
  </si>
  <si>
    <t>Precondición: sesión de administrador, pantalla Usuarios. Rol entrenador y teléfono con indicativo.</t>
  </si>
  <si>
    <t>55550002</t>
  </si>
  <si>
    <t>+57 310 555 0002</t>
  </si>
  <si>
    <t>laura@mail.com</t>
  </si>
  <si>
    <t>entrenador</t>
  </si>
  <si>
    <t>Entren2026</t>
  </si>
  <si>
    <t>HE1_HU1_CA1_CP003</t>
  </si>
  <si>
    <t>Ana Torres</t>
  </si>
  <si>
    <t>Precondición: sesión de administrador, pantalla Usuarios. Rol administrador y documento con letras.</t>
  </si>
  <si>
    <t>AB1234</t>
  </si>
  <si>
    <t>3205550003</t>
  </si>
  <si>
    <t>ana.torres@mail.com</t>
  </si>
  <si>
    <t>administrador</t>
  </si>
  <si>
    <t>Admin2026</t>
  </si>
  <si>
    <t>HE1_HU1_CA1_CP004</t>
  </si>
  <si>
    <t>Luis Gómez</t>
  </si>
  <si>
    <t>Precondición: sesión de administrador, pantalla Usuarios. Valores límite: documento de 4 caracteres y contraseña de 8. Queda guardado como A123 (rol usuario, sin rutina: sirve para E2-HU4).</t>
  </si>
  <si>
    <t>A123</t>
  </si>
  <si>
    <t>3005550004</t>
  </si>
  <si>
    <t>luis@mail.com</t>
  </si>
  <si>
    <t>Clave123</t>
  </si>
  <si>
    <t>HE1_HU1_CA2_CP001</t>
  </si>
  <si>
    <t>(vacío)</t>
  </si>
  <si>
    <t>Negativo (-)</t>
  </si>
  <si>
    <t>Entonces CA2: el sistema rechaza el registro y muestra «Faltan campos obligatorios: Nombre completo.»</t>
  </si>
  <si>
    <t>Precondición: sesión de administrador, pantalla Usuarios. Un solo campo obligatorio vacío.</t>
  </si>
  <si>
    <t>55550010</t>
  </si>
  <si>
    <t>p10@mail.com</t>
  </si>
  <si>
    <t>HE1_HU1_CA2_CP002</t>
  </si>
  <si>
    <t>Entonces CA2: el sistema rechaza el registro y muestra «Faltan campos obligatorios: Número de documento.»</t>
  </si>
  <si>
    <t>HE1_HU1_CA2_CP003</t>
  </si>
  <si>
    <t>Entonces CA2: el sistema rechaza el registro y muestra «Faltan campos obligatorios: Teléfono.»</t>
  </si>
  <si>
    <t>HE1_HU1_CA2_CP004</t>
  </si>
  <si>
    <t>Entonces CA2: el sistema rechaza el registro y muestra «Faltan campos obligatorios: Correo electrónico.»</t>
  </si>
  <si>
    <t>HE1_HU1_CA2_CP005</t>
  </si>
  <si>
    <t>Entonces CA2: el sistema rechaza el registro y muestra «Faltan campos obligatorios: Contraseña.»</t>
  </si>
  <si>
    <t>HE1_HU1_CA2_CP006</t>
  </si>
  <si>
    <t>Entonces CA2: el sistema rechaza el registro y muestra «Faltan campos obligatorios: Nombre completo, Número de documento, Teléfono, Correo electrónico, Contraseña.»</t>
  </si>
  <si>
    <t>Precondición: sesión de administrador, pantalla Usuarios. Todos los campos obligatorios vacíos.</t>
  </si>
  <si>
    <t>HE1_HU1_CA2_CP007</t>
  </si>
  <si>
    <t>Entonces CA2: el sistema rechaza el registro y muestra «Ingresa un correo electrónico válido.»</t>
  </si>
  <si>
    <t>Precondición: sesión de administrador, pantalla Usuarios. CP adicional: el CA2 habla de campos vacíos; este valida el formato del correo.</t>
  </si>
  <si>
    <t>pedro@</t>
  </si>
  <si>
    <t>HE1_HU1_CA2_CP008</t>
  </si>
  <si>
    <t>Entonces CA2: el sistema rechaza el registro y muestra «La contraseña debe tener entre 8 y 72 caracteres, con al menos una letra y un número.»</t>
  </si>
  <si>
    <t>Precondición: sesión de administrador, pantalla Usuarios. CP adicional (formato de contraseña).</t>
  </si>
  <si>
    <t>corta1</t>
  </si>
  <si>
    <t>HE1_HU1_CA2_CP009</t>
  </si>
  <si>
    <t>Entonces CA2: el sistema rechaza el registro y muestra el mismo mensaje de contraseña (falta un número).</t>
  </si>
  <si>
    <t>soloLetrasAqui</t>
  </si>
  <si>
    <t>HE1_HU1_CA3_CP001</t>
  </si>
  <si>
    <t>Carlos Díaz</t>
  </si>
  <si>
    <t>Entonces CA3: el sistema rechaza el registro y muestra «El usuario ya existe: hay un registro con ese documento.»</t>
  </si>
  <si>
    <t>Precondición: sesión de administrador, pantalla Usuarios. Precondición extra: ya existe el documento 55550001 (CA1_CP001).</t>
  </si>
  <si>
    <t>3115550005</t>
  </si>
  <si>
    <t>carlos@mail.com</t>
  </si>
  <si>
    <t>HE1_HU1_CA3_CP002</t>
  </si>
  <si>
    <t>Luisa Gómez</t>
  </si>
  <si>
    <t>Precondición: sesión de administrador, pantalla Usuarios. Ya existe A123 (CA1_CP004). Se escribe en minúscula porque el sistema guarda los documentos en mayúscula.</t>
  </si>
  <si>
    <t>a123</t>
  </si>
  <si>
    <t>3125550006</t>
  </si>
  <si>
    <t>luisa@mail.com</t>
  </si>
  <si>
    <t>HE1_HU1_CA3_CP003</t>
  </si>
  <si>
    <t>Mario Peña</t>
  </si>
  <si>
    <t>Precondición: sesión de administrador, pantalla Usuarios. Mismo documento con otro rol y otros datos: sigue siendo duplicado.</t>
  </si>
  <si>
    <t>3135550007</t>
  </si>
  <si>
    <t>mario@mail.com</t>
  </si>
  <si>
    <t>DISEÑO DE CASOS DE PRUEBA (CP) — SAIYAGYM · E1-HU2 Actualizar información de usuarios</t>
  </si>
  <si>
    <t>E1-HU2 — Actualizar información de usuarios</t>
  </si>
  <si>
    <t>CA1 · Actualización exitosa</t>
  </si>
  <si>
    <t>CA2 · Usuario no encontrado</t>
  </si>
  <si>
    <t>CA3 · Datos incompletos</t>
  </si>
  <si>
    <t>HE1_HU2_CA1_CP001</t>
  </si>
  <si>
    <t>Entonces CA1: el sistema guarda los cambios y muestra «Usuario actualizado correctamente.»</t>
  </si>
  <si>
    <t>Precondición: sesión de administrador; clic en «Editar» del usuario. Usuario: Pedro Ruiz (E1-HU1 CA1_CP001). Solo cambia el teléfono; la lista debe mostrar el nuevo valor.</t>
  </si>
  <si>
    <t>3109998877</t>
  </si>
  <si>
    <t>(vacío = conserva la actual)</t>
  </si>
  <si>
    <t>HE1_HU2_CA1_CP002</t>
  </si>
  <si>
    <t>Laura Mora Díaz</t>
  </si>
  <si>
    <t>Precondición: sesión de administrador; clic en «Editar» del usuario. Usuario: Laura Mora (E1-HU1 CA1_CP002). Cambia nombre y correo.</t>
  </si>
  <si>
    <t>laura.mora@mail.com</t>
  </si>
  <si>
    <t>HE1_HU2_CA1_CP003</t>
  </si>
  <si>
    <t>Precondición: sesión de administrador; clic en «Editar» del usuario. Cambio de contraseña: después Pedro debe poder iniciar sesión con Nueva2026.</t>
  </si>
  <si>
    <t>Nueva2026</t>
  </si>
  <si>
    <t>HE1_HU2_CA2_CP001</t>
  </si>
  <si>
    <t>Temporal Prueba</t>
  </si>
  <si>
    <t>Entonces CA2: el sistema rechaza los cambios y muestra «El usuario no existe.»; el formulario se limpia y la lista se actualiza.</t>
  </si>
  <si>
    <t>Precondición: sesión de administrador; clic en «Editar» del usuario. Usuario temporal 55559999: se registra, se pulsa «Editar» y, sin cerrar el formulario, se borra de la base de datos con SQL. Luego se cambia el teléfono y se pulsa «Guardar cambios» (pasos en el documento Pasos_E1-HU2).</t>
  </si>
  <si>
    <t>55559999</t>
  </si>
  <si>
    <t>temporal@mail.com</t>
  </si>
  <si>
    <t>HE1_HU2_CA3_CP001</t>
  </si>
  <si>
    <t>Entonces CA3: el sistema rechaza los cambios y muestra «Faltan campos obligatorios: Nombre completo.»</t>
  </si>
  <si>
    <t>Precondición: sesión de administrador; clic en «Editar» del usuario. Se borra el nombre y se guarda.</t>
  </si>
  <si>
    <t>HE1_HU2_CA3_CP002</t>
  </si>
  <si>
    <t>Entonces CA3: el sistema rechaza los cambios y muestra «Faltan campos obligatorios: Correo electrónico.»</t>
  </si>
  <si>
    <t>Precondición: sesión de administrador; clic en «Editar» del usuario. Se borra el correo y se guarda.</t>
  </si>
  <si>
    <t>HE1_HU2_CA3_CP003</t>
  </si>
  <si>
    <t>Entonces CA3: el sistema rechaza los cambios y muestra «Faltan campos obligatorios: Nombre completo, Número de documento, Teléfono, Correo electrónico.»</t>
  </si>
  <si>
    <t>Precondición: sesión de administrador; clic en «Editar» del usuario. Se borran todos los datos obligatorios.</t>
  </si>
  <si>
    <t>HE1_HU2_CA3_CP004</t>
  </si>
  <si>
    <t>Entonces CA3: el sistema rechaza los cambios y muestra «El usuario ya existe: hay un registro con ese documento.»</t>
  </si>
  <si>
    <t>Precondición: sesión de administrador; clic en «Editar» del usuario. CP adicional: el documento 10000003 ya pertenece a Camila Pérez.</t>
  </si>
  <si>
    <t>10000003</t>
  </si>
  <si>
    <t>HE1_HU2_CA3_CP005</t>
  </si>
  <si>
    <t>Administrador Demo</t>
  </si>
  <si>
    <t>Entonces CA3: el sistema rechaza los cambios y muestra «No puedes cambiar tu propio rol.»</t>
  </si>
  <si>
    <t>Precondición: sesión de administrador; clic en «Editar» del usuario. CP adicional: edita al administrador que tiene la sesión abierta (10000001) y cambia su rol.</t>
  </si>
  <si>
    <t>10000001</t>
  </si>
  <si>
    <t>3000000001</t>
  </si>
  <si>
    <t>admin@saiyagym.test</t>
  </si>
  <si>
    <t>DISEÑO DE CASOS DE PRUEBA (CP) — SAIYAGYM · E1-HU3 Consultar información de usuarios</t>
  </si>
  <si>
    <t>E1-HU3 — Consultar información de usuarios</t>
  </si>
  <si>
    <t>CA1 · Usuario encontrado</t>
  </si>
  <si>
    <t>CA3 · Criterio de búsqueda vacío</t>
  </si>
  <si>
    <t>HE1_HU3_CA1_CP001</t>
  </si>
  <si>
    <t>Campo de búsqueda</t>
  </si>
  <si>
    <t>Entonces CA1: el sistema muestra solo a Camila Pérez con sus datos (documento, teléfono, correo, rol, estado).</t>
  </si>
  <si>
    <t>Precondición: sesión de administrador, lista «Usuarios registrados». Se usan los usuarios de demostración (db:seed). Búsqueda por documento.</t>
  </si>
  <si>
    <t>Acción</t>
  </si>
  <si>
    <t>Clic en «Buscar»</t>
  </si>
  <si>
    <t>HE1_HU3_CA1_CP002</t>
  </si>
  <si>
    <t>camila</t>
  </si>
  <si>
    <t>Entonces CA1: el sistema muestra a Camila Pérez (la búsqueda no distingue mayúsculas).</t>
  </si>
  <si>
    <t>Precondición: sesión de administrador, lista «Usuarios registrados». Se usan los usuarios de demostración (db:seed). Búsqueda por nombre parcial en minúscula.</t>
  </si>
  <si>
    <t>HE1_HU3_CA1_CP003</t>
  </si>
  <si>
    <t>gómez</t>
  </si>
  <si>
    <t>Entonces CA1: el sistema muestra a Andrés Gómez con estado Inactivo.</t>
  </si>
  <si>
    <t>Precondición: sesión de administrador, lista «Usuarios registrados». Se usan los usuarios de demostración (db:seed). Búsqueda por apellido: aparecen también otros usuarios cuyo nombre contenga «gómez» (por ejemplo Luis Gómez si ya se registró).</t>
  </si>
  <si>
    <t>HE1_HU3_CA2_CP001</t>
  </si>
  <si>
    <t>zzz999</t>
  </si>
  <si>
    <t>Entonces CA2: la lista queda vacía y muestra el recuadro «No encontramos coincidencias» con el texto «No se encontró ningún usuario con ese nombre o documento.»</t>
  </si>
  <si>
    <t>Precondición: sesión de administrador, lista «Usuarios registrados». Se usan los usuarios de demostración (db:seed). Texto que no existe.</t>
  </si>
  <si>
    <t>HE1_HU3_CA2_CP002</t>
  </si>
  <si>
    <t>99999999</t>
  </si>
  <si>
    <t>Precondición: sesión de administrador, lista «Usuarios registrados». Se usan los usuarios de demostración (db:seed). Documento que no existe.</t>
  </si>
  <si>
    <t>HE1_HU3_CA3_CP001</t>
  </si>
  <si>
    <t>Entonces CA3: el sistema muestra «Ingresa un nombre o número de documento para buscar.»</t>
  </si>
  <si>
    <t>Precondición: sesión de administrador, lista «Usuarios registrados». Se usan los usuarios de demostración (db:seed). Campo vacío.</t>
  </si>
  <si>
    <t>HE1_HU3_CA3_CP002</t>
  </si>
  <si>
    <t xml:space="preserve">   (solo espacios)</t>
  </si>
  <si>
    <t>Precondición: sesión de administrador, lista «Usuarios registrados». Se usan los usuarios de demostración (db:seed). Solo espacios: se trata como vacío.</t>
  </si>
  <si>
    <t>DISEÑO DE CASOS DE PRUEBA (CP) — SAIYAGYM · E1-HU4 Gestionar estado de usuarios</t>
  </si>
  <si>
    <t>E1-HU4 — Gestionar estado de usuarios</t>
  </si>
  <si>
    <t>CA1 · Activar usuario</t>
  </si>
  <si>
    <t>CA2 · Inactivar usuario</t>
  </si>
  <si>
    <t>CA3 · Usuario no encontrado</t>
  </si>
  <si>
    <t>HE1_HU4_CA1_CP001</t>
  </si>
  <si>
    <t>Usuario</t>
  </si>
  <si>
    <t>Andrés Gómez (10000004)</t>
  </si>
  <si>
    <t>Entonces CA1: el sistema cambia el estado a Activo y muestra «Andrés Gómez fue activado correctamente.»</t>
  </si>
  <si>
    <t>Precondición: sesión de administrador, lista «Usuarios registrados». Usuario inactivo de demostración (db:seed).</t>
  </si>
  <si>
    <t>Estado actual</t>
  </si>
  <si>
    <t>Inactivo</t>
  </si>
  <si>
    <t>Clic en «Activar»</t>
  </si>
  <si>
    <t>HE1_HU4_CA1_CP002</t>
  </si>
  <si>
    <t>Pedro Ruiz (55550001)</t>
  </si>
  <si>
    <t>Entonces CA1: el sistema cambia el estado a Activo y muestra «Pedro Ruiz fue activado correctamente.»</t>
  </si>
  <si>
    <t>Precondición: sesión de administrador, lista «Usuarios registrados». Precondición extra: Pedro ya fue inactivado en CA2_CP001.</t>
  </si>
  <si>
    <t>HE1_HU4_CA2_CP001</t>
  </si>
  <si>
    <t>Entonces CA2: el sistema cambia el estado a Inactivo y muestra «Pedro Ruiz fue inactivado correctamente.»</t>
  </si>
  <si>
    <t>Precondición: sesión de administrador, lista «Usuarios registrados». El registro NO se elimina: solo cambia el estado.</t>
  </si>
  <si>
    <t>Activo</t>
  </si>
  <si>
    <t>Clic en «Inactivar»</t>
  </si>
  <si>
    <t>HE1_HU4_CA2_CP002</t>
  </si>
  <si>
    <t>Laura Mora Díaz (55550002)</t>
  </si>
  <si>
    <t>Entonces CA2: el sistema cambia el estado a Inactivo y muestra «Laura Mora Díaz fue inactivado correctamente.»</t>
  </si>
  <si>
    <t>Precondición: sesión de administrador, lista «Usuarios registrados». Después se vuelve a activar para no afectar otras pruebas.</t>
  </si>
  <si>
    <t>HE1_HU4_CA3_CP001</t>
  </si>
  <si>
    <t>Temporal 2 (55559998)</t>
  </si>
  <si>
    <t>Entonces CA3: el sistema rechaza el cambio y muestra «El usuario no existe.»</t>
  </si>
  <si>
    <t>Precondición: sesión de administrador, lista «Usuarios registrados». Usuario temporal 55559998: se registra, y con la fila visible se borra de la base de datos con SQL; luego se pulsa «Inactivar» (pasos en el documento Pasos_E1-HU4).</t>
  </si>
  <si>
    <t>Activo (la fila sigue en pantalla pero ya se borró de la base de datos)</t>
  </si>
  <si>
    <t>HE1_HU4_CA3_CP002</t>
  </si>
  <si>
    <t>Administrador Demo (10000001): la fila del propio administrador</t>
  </si>
  <si>
    <t>Entonces CA3: el botón «Inactivar» de esa fila aparece deshabilitado y al pasar el cursor muestra «No puedes cambiar el estado de tu propio usuario»; no se puede inactivar.</t>
  </si>
  <si>
    <t>Precondición: sesión de administrador, lista «Usuarios registrados». CP adicional: el administrador no puede inactivarse a sí mismo (el sistema lo impide desde la pantalla).</t>
  </si>
  <si>
    <t>Intentar pulsar «Inactivar»</t>
  </si>
  <si>
    <t>DISEÑO DE CASOS DE PRUEBA (CP) — SAIYAGYM · E2-HU1 Crear rutina de entrenamiento</t>
  </si>
  <si>
    <t>Rol que ejecuta: Entrenador. Celdas amarillas = para completar al ejecutar. Alcance y estadísticas se calculan solos.</t>
  </si>
  <si>
    <t>E2-HU1 — Crear rutina de entrenamiento</t>
  </si>
  <si>
    <t>Gestión de rutinas (Sprint 2)</t>
  </si>
  <si>
    <t>CA1 · Creación exitosa</t>
  </si>
  <si>
    <t>CA2 · Datos incompletos</t>
  </si>
  <si>
    <t>CA3 · Ejercicio no seleccionado</t>
  </si>
  <si>
    <t>HE2_HU1_CA1_CP001</t>
  </si>
  <si>
    <t>Nombre de la rutina</t>
  </si>
  <si>
    <t>Fuerza tren superior</t>
  </si>
  <si>
    <t>Entonces CA1: el sistema crea la rutina y muestra «Rutina registrada correctamente.»</t>
  </si>
  <si>
    <t>Precondición: sesión de entrenador (10000002), pantalla Rutinas, formulario «Nueva rutina». Rutina de 2 ejercicios. Se usa luego en E2-HU2 y E2-HU4.</t>
  </si>
  <si>
    <t>Objetivo</t>
  </si>
  <si>
    <t>Ganar fuerza y masa muscular</t>
  </si>
  <si>
    <t>Ejercicio 1</t>
  </si>
  <si>
    <t>Press banca · 4 series x 10 rep.</t>
  </si>
  <si>
    <t>Ejercicio 2</t>
  </si>
  <si>
    <t>Remo con barra · 4 series x 10 rep.</t>
  </si>
  <si>
    <t>HE2_HU1_CA1_CP002</t>
  </si>
  <si>
    <t>Cardio básico</t>
  </si>
  <si>
    <t>Precondición: sesión de entrenador (10000002), pantalla Rutinas, formulario «Nueva rutina». Rutina con un solo ejercicio (mínimo permitido).</t>
  </si>
  <si>
    <t>Mejorar resistencia</t>
  </si>
  <si>
    <t>Sentadilla libre · 3 series x 15 rep.</t>
  </si>
  <si>
    <t>HE2_HU1_CA1_CP003</t>
  </si>
  <si>
    <t>Pierna intensiva</t>
  </si>
  <si>
    <t>Precondición: sesión de entrenador (10000002), pantalla Rutinas, formulario «Nueva rutina». Valores límite: 20 series y 200 repeticiones (máximos permitidos).</t>
  </si>
  <si>
    <t>Aumentar resistencia muscular</t>
  </si>
  <si>
    <t>Prensa de piernas · 20 series x 200 rep.</t>
  </si>
  <si>
    <t>HE2_HU1_CA2_CP001</t>
  </si>
  <si>
    <t>Entonces CA2: el sistema rechaza el registro y muestra «Faltan datos obligatorios de la rutina: Nombre de la rutina.»</t>
  </si>
  <si>
    <t>Precondición: sesión de entrenador (10000002), pantalla Rutinas, formulario «Nueva rutina». Nombre vacío.</t>
  </si>
  <si>
    <t>Ganar fuerza</t>
  </si>
  <si>
    <t>HE2_HU1_CA2_CP002</t>
  </si>
  <si>
    <t>Entonces CA2: el sistema rechaza el registro y muestra «Faltan datos obligatorios de la rutina: Objetivo.»</t>
  </si>
  <si>
    <t>Precondición: sesión de entrenador (10000002), pantalla Rutinas, formulario «Nueva rutina». Objetivo vacío.</t>
  </si>
  <si>
    <t>HE2_HU1_CA2_CP003</t>
  </si>
  <si>
    <t>Entonces CA2: el sistema rechaza el registro y muestra «Faltan datos obligatorios de la rutina: Nombre de la rutina, Objetivo.»</t>
  </si>
  <si>
    <t>Precondición: sesión de entrenador (10000002), pantalla Rutinas, formulario «Nueva rutina». Nombre y objetivo vacíos.</t>
  </si>
  <si>
    <t>HE2_HU1_CA2_CP004</t>
  </si>
  <si>
    <t>Rutina X</t>
  </si>
  <si>
    <t>Entonces CA2: el sistema rechaza el registro y muestra «El ejercicio 1 no es válido: series entre 1 y 20, repeticiones entre 1 y 200 y nombre de máximo 120 caracteres.»</t>
  </si>
  <si>
    <t>Precondición: sesión de entrenador (10000002), pantalla Rutinas, formulario «Nueva rutina». CP adicional: 21 series (fuera del límite).</t>
  </si>
  <si>
    <t>Objetivo X</t>
  </si>
  <si>
    <t>Press banca · 21 series x 10 rep.</t>
  </si>
  <si>
    <t>HE2_HU1_CA2_CP005</t>
  </si>
  <si>
    <t>Entonces CA2: el sistema rechaza el registro y muestra «Completa el nombre, las series y las repeticiones del ejercicio 1.»</t>
  </si>
  <si>
    <t>Precondición: sesión de entrenador (10000002), pantalla Rutinas, formulario «Nueva rutina». CP adicional: repeticiones vacías.</t>
  </si>
  <si>
    <t>Press banca · 4 series x (vacío) rep.</t>
  </si>
  <si>
    <t>HE2_HU1_CA3_CP001</t>
  </si>
  <si>
    <t>Core estable</t>
  </si>
  <si>
    <t>Entonces CA3: el sistema rechaza el registro y muestra «La rutina debe tener al menos un ejercicio.»</t>
  </si>
  <si>
    <t>Precondición: sesión de entrenador (10000002), pantalla Rutinas, formulario «Nueva rutina». Se quitan todos los ejercicios con «×». Si la pantalla no deja quitar el último, se prueba por API con "ejercicios": [].</t>
  </si>
  <si>
    <t>Mejorar estabilidad</t>
  </si>
  <si>
    <t>HE2_HU1_CA3_CP002</t>
  </si>
  <si>
    <t>Movilidad</t>
  </si>
  <si>
    <t>Precondición: sesión de entrenador (10000002), pantalla Rutinas, formulario «Nueva rutina». Mismo caso con otros datos.</t>
  </si>
  <si>
    <t>Mejorar flexibilidad</t>
  </si>
  <si>
    <t>DISEÑO DE CASOS DE PRUEBA (CP) — SAIYAGYM · E2-HU2 Asignar rutina a usuario</t>
  </si>
  <si>
    <t>E2-HU2 — Asignar rutina a usuario</t>
  </si>
  <si>
    <t>CA1 · Asignación exitosa</t>
  </si>
  <si>
    <t>CA2 · Usuario no seleccionado</t>
  </si>
  <si>
    <t>CA3 · Usuario no disponible</t>
  </si>
  <si>
    <t>CA4 · Rutina no seleccionada</t>
  </si>
  <si>
    <t>HE2_HU2_CA1_CP001</t>
  </si>
  <si>
    <t>Camila Pérez</t>
  </si>
  <si>
    <t>Entonces CA1: el sistema asigna la rutina y muestra «La rutina "Fuerza tren superior" fue asignada a Camila Pérez correctamente.»</t>
  </si>
  <si>
    <t xml:space="preserve">Precondición: sesión de entrenador, tarjeta «Asignar rutina a un usuario»; existen las rutinas de E2-HU1. </t>
  </si>
  <si>
    <t>Rutina</t>
  </si>
  <si>
    <t>Clic en «Asignar»</t>
  </si>
  <si>
    <t>HE2_HU2_CA1_CP002</t>
  </si>
  <si>
    <t>Entonces CA1: el sistema asigna la rutina y muestra «La rutina "Cardio básico" fue asignada a Pedro Ruiz correctamente.»</t>
  </si>
  <si>
    <t>Precondición: sesión de entrenador, tarjeta «Asignar rutina a un usuario»; existen las rutinas de E2-HU1. Pedro debe estar Activo (E1-HU4 CA1_CP002).</t>
  </si>
  <si>
    <t>HE2_HU2_CA1_CP003</t>
  </si>
  <si>
    <t>Entonces CA1: el sistema asigna la nueva rutina; la anterior queda como histórico y Camila ve solo «Cardio básico» en Mi rutina.</t>
  </si>
  <si>
    <t>Precondición: sesión de entrenador, tarjeta «Asignar rutina a un usuario»; existen las rutinas de E2-HU1. Reasignación: Camila ya tenía «Fuerza tren superior». Al terminar queda con «Cardio básico».</t>
  </si>
  <si>
    <t>HE2_HU2_CA2_CP001</t>
  </si>
  <si>
    <t>Selecciona un usuario</t>
  </si>
  <si>
    <t>Entonces CA2: el sistema rechaza la asignación y muestra «Selecciona un usuario para asignarle la rutina.»</t>
  </si>
  <si>
    <t>Precondición: sesión de entrenador, tarjeta «Asignar rutina a un usuario»; existen las rutinas de E2-HU1. No se elige usuario.</t>
  </si>
  <si>
    <t>HE2_HU2_CA3_CP001</t>
  </si>
  <si>
    <t>Andrés Gómez (inactivo)</t>
  </si>
  <si>
    <t>Entonces CA3: el sistema rechaza la asignación y muestra «El usuario seleccionado está inactivo y no está disponible para asignarle una rutina.»</t>
  </si>
  <si>
    <t>Precondición: sesión de entrenador, tarjeta «Asignar rutina a un usuario»; existen las rutinas de E2-HU1. Andrés debe estar Inactivo: ejecutar antes de activarlo en E1-HU4 CA1_CP001, o volver a inactivarlo.</t>
  </si>
  <si>
    <t>HE2_HU2_CA4_CP001</t>
  </si>
  <si>
    <t>Entonces CA4: el sistema rechaza la asignación y muestra «Selecciona una rutina para asignar.»</t>
  </si>
  <si>
    <t>Precondición: sesión de entrenador, tarjeta «Asignar rutina a un usuario»; existen las rutinas de E2-HU1. No se elige rutina.</t>
  </si>
  <si>
    <t>Selecciona una rutina</t>
  </si>
  <si>
    <t>HE2_HU2_CA4_CP002</t>
  </si>
  <si>
    <t>Entonces CA4: el sistema rechaza la asignación y muestra el mensaje de usuario no seleccionado (se valida primero el usuario).</t>
  </si>
  <si>
    <t>Precondición: sesión de entrenador, tarjeta «Asignar rutina a un usuario»; existen las rutinas de E2-HU1. CP adicional: ninguno de los dos seleccionado.</t>
  </si>
  <si>
    <t>DISEÑO DE CASOS DE PRUEBA (CP) — SAIYAGYM · E2-HU3 Modificar rutina de entrenamiento</t>
  </si>
  <si>
    <t>E2-HU3 — Modificar rutina de entrenamiento</t>
  </si>
  <si>
    <t>CA1 · Modificación exitosa</t>
  </si>
  <si>
    <t>CA2 · Rutina no encontrada</t>
  </si>
  <si>
    <t>CA3 · Datos obligatorios eliminados</t>
  </si>
  <si>
    <t>HE2_HU3_CA1_CP001</t>
  </si>
  <si>
    <t>Fuerza tren superior - nivel 2</t>
  </si>
  <si>
    <t>Entonces CA1: el sistema guarda los cambios y muestra «Rutina modificada correctamente.»</t>
  </si>
  <si>
    <t>Precondición: sesión de entrenador, lista «Rutinas registradas»; clic en «Editar». Rutina «Fuerza tren superior»: cambia solo el nombre.</t>
  </si>
  <si>
    <t>HE2_HU3_CA1_CP002</t>
  </si>
  <si>
    <t>Precondición: sesión de entrenador, lista «Rutinas registradas»; clic en «Editar». Se agrega un tercer ejercicio con «+ Agregar ejercicio». Lo usa E2-HU4 CA4.</t>
  </si>
  <si>
    <t>Ejercicio 3</t>
  </si>
  <si>
    <t>Fondos en paralelas · 3 series x 12 rep.</t>
  </si>
  <si>
    <t>HE2_HU3_CA1_CP003</t>
  </si>
  <si>
    <t>Precondición: sesión de entrenador, lista «Rutinas registradas»; clic en «Editar». Se cambian series y repeticiones del primer ejercicio.</t>
  </si>
  <si>
    <t>Press banca · 5 series x 8 rep.</t>
  </si>
  <si>
    <t>HE2_HU3_CA2_CP001</t>
  </si>
  <si>
    <t>Rutina temporal</t>
  </si>
  <si>
    <t>Entonces CA2: el sistema rechaza la modificación y muestra «La rutina no fue encontrada.»</t>
  </si>
  <si>
    <t>Precondición: sesión de entrenador. Rutina «Rutina temporal»: se crea, se pulsa «Modificar» y, sin cerrar el formulario, se borra de la base de datos con SQL. Luego se pulsa «Guardar cambios» (pasos en el documento Pasos_E2-HU3).</t>
  </si>
  <si>
    <t>Objetivo temporal</t>
  </si>
  <si>
    <t>HE2_HU3_CA3_CP001</t>
  </si>
  <si>
    <t>Entonces CA3: el sistema rechaza la actualización y muestra «Faltan datos obligatorios de la rutina: Nombre de la rutina.»</t>
  </si>
  <si>
    <t>Precondición: sesión de entrenador, lista «Rutinas registradas»; clic en «Editar». Se borra el nombre.</t>
  </si>
  <si>
    <t>HE2_HU3_CA3_CP002</t>
  </si>
  <si>
    <t>Entonces CA3: el sistema rechaza la actualización y muestra «Faltan datos obligatorios de la rutina: Objetivo.»</t>
  </si>
  <si>
    <t>Precondición: sesión de entrenador, lista «Rutinas registradas»; clic en «Editar». Se borra el objetivo.</t>
  </si>
  <si>
    <t>HE2_HU3_CA3_CP003</t>
  </si>
  <si>
    <t>Entonces CA3: el sistema rechaza la actualización y muestra «La rutina debe tener al menos un ejercicio.»</t>
  </si>
  <si>
    <t>Precondición: sesión de entrenador, lista «Rutinas registradas»; clic en «Editar». Se quitan todos los ejercicios (si la pantalla no lo permite, se prueba por API).</t>
  </si>
  <si>
    <t>DISEÑO DE CASOS DE PRUEBA (CP) — SAIYAGYM · E2-HU4 Consultar rutina asignada</t>
  </si>
  <si>
    <t>Rol que ejecuta: Usuario del gimnasio. Celdas amarillas = para completar al ejecutar. Alcance y estadísticas se calculan solos.</t>
  </si>
  <si>
    <t>E2-HU4 — Consultar rutina asignada</t>
  </si>
  <si>
    <t>CA1 · Rutina encontrada</t>
  </si>
  <si>
    <t>CA2 · Sin rutina asignada</t>
  </si>
  <si>
    <t>CA3 · Rutina no disponible</t>
  </si>
  <si>
    <t>CA4 · Consulta exitosa</t>
  </si>
  <si>
    <t>HE2_HU4_CA1_CP001</t>
  </si>
  <si>
    <t>Documento (login)</t>
  </si>
  <si>
    <t>Entonces CA1: el sistema muestra «TU RUTINA ACTUAL» con el nombre de la rutina, la fecha de asignación, el objetivo, el entrenador y la tabla de ejercicios.</t>
  </si>
  <si>
    <t>Precondición: sesión del usuario, pantalla «Mi rutina». Camila Pérez. Antes, como entrenador, asígnale «Fuerza tren superior - nivel 2» (así se llama esa rutina después de E2-HU3).</t>
  </si>
  <si>
    <t>Saiya2026</t>
  </si>
  <si>
    <t>Pantalla</t>
  </si>
  <si>
    <t>Mi rutina</t>
  </si>
  <si>
    <t>Situación</t>
  </si>
  <si>
    <t>Camila con «Fuerza tren superior - nivel 2» asignada</t>
  </si>
  <si>
    <t>HE2_HU4_CA1_CP002</t>
  </si>
  <si>
    <t>Entonces CA1: el sistema muestra «TU RUTINA ACTUAL» con la rutina «Cardio básico» y su ejercicio.</t>
  </si>
  <si>
    <t>Precondición: sesión del usuario, pantalla «Mi rutina». Pedro Ruiz (contraseña cambiada en E1-HU2 CA1_CP003), rutina asignada en E2-HU2 CA1_CP002.</t>
  </si>
  <si>
    <t>Pedro con «Cardio básico» asignada</t>
  </si>
  <si>
    <t>HE2_HU4_CA2_CP001</t>
  </si>
  <si>
    <t>Entonces CA2: el sistema muestra el aviso «Sin rutina asignada» con el texto «El usuario no tiene una rutina asignada.»</t>
  </si>
  <si>
    <t>Precondición: sesión del usuario, pantalla «Mi rutina». Luis Gómez fue registrado en E1-HU1 CA1_CP004 y nunca se le asignó rutina.</t>
  </si>
  <si>
    <t>Luis Gómez sin ninguna asignación</t>
  </si>
  <si>
    <t>HE2_HU4_CA3_CP001</t>
  </si>
  <si>
    <t>Entonces CA3: el sistema muestra el aviso «Rutina no disponible» con el texto «La rutina asignada no está disponible.»</t>
  </si>
  <si>
    <t>Precondición: sesión del usuario, pantalla «Mi rutina». No hay pantalla para inactivar rutinas: se hace por base de datos (UPDATE rutinas SET estado='Inactiva' WHERE nombre='Cardio básico';) y luego se devuelve a 'Activa'.</t>
  </si>
  <si>
    <t>Rutina de Pedro marcada como Inactiva</t>
  </si>
  <si>
    <t>HE2_HU4_CA4_CP001</t>
  </si>
  <si>
    <t>Entonces CA4: el sistema muestra la rutina completa: nombre, objetivo, entrenador y los 3 ejercicios con sus series y repeticiones.</t>
  </si>
  <si>
    <t>Precondición: sesión del usuario, pantalla «Mi rutina». Rutina vigente correctamente asignada (Camila debe tener «Fuerza tren superior - nivel 2»).</t>
  </si>
  <si>
    <t>Camila con la rutina de 3 ejercicios (tras E2-HU3 CA1_CP002)</t>
  </si>
  <si>
    <t>HE2_HU4_CA4_CP002</t>
  </si>
  <si>
    <t>Entonces CA4: el sistema muestra solo la rutina vigente («Cardio básico»), no la anterior.</t>
  </si>
  <si>
    <t>Precondición: sesión del usuario, pantalla «Mi rutina». Antes, como entrenador, asígnale «Cardio básico» a Camila. Ejecútalo al final de E2-HU4.</t>
  </si>
  <si>
    <t>Camila reasignada a «Cardio básico»</t>
  </si>
  <si>
    <t>DISEÑO DE CASOS DE PRUEBA (CP) — SAIYAGYM</t>
  </si>
  <si>
    <t>Plantilla en blanco para las historias de los siguientes sprints. Copia esta hoja (clic derecho &gt; Mover o copiar).</t>
  </si>
  <si>
    <t>CA1</t>
  </si>
  <si>
    <t>CA2</t>
  </si>
  <si>
    <t>CA3</t>
  </si>
  <si>
    <t>https://docs.google.com/document/d/1QQVp4MpEKhB28qrx3a3Iag5cRzZDnUSb/edit?usp=drive_link&amp;ouid=103533695958335943637&amp;rtpof=true&amp;sd=true</t>
  </si>
  <si>
    <t>https://docs.google.com/document/d/1qH6x9oWqjPh-aAiX5MJjBOjreEm26viX/edit?usp=drive_link&amp;ouid=103533695958335943637&amp;rtpof=true&amp;sd=true</t>
  </si>
  <si>
    <t>https://docs.google.com/document/d/1_C8d_ZDSL8BJSZhFncwF0chnvJCmjNM0/edit?usp=drive_link&amp;ouid=103533695958335943637&amp;rtpof=true&amp;sd=true</t>
  </si>
  <si>
    <t>https://docs.google.com/document/d/1-qbGi9E85ciCa6cZzggyylpTzn9xzpVn/edit?usp=drive_link&amp;ouid=103533695958335943637&amp;rtpof=true&amp;sd=true</t>
  </si>
  <si>
    <t>https://docs.google.com/document/d/1NfQHTG3vGCu2g09koHiX7udgol7BF719/edit?usp=drive_link&amp;ouid=103533695958335943637&amp;rtpof=true&amp;sd=true</t>
  </si>
  <si>
    <t>https://docs.google.com/document/d/1lRqV1zrO9mUMZ58Zv8bgMuRSpJwCJOTD/edit?usp=drive_link&amp;ouid=103533695958335943637&amp;rtpof=true&amp;sd=true</t>
  </si>
  <si>
    <t>https://docs.google.com/document/d/12UGBbx7oETFpF6f8n3GpEMTCk2YpFju2/edit?usp=drive_link&amp;ouid=103533695958335943637&amp;rtpof=true&amp;sd=true</t>
  </si>
  <si>
    <t>https://docs.google.com/document/d/1ATvnsXWQaRYnv9AjN803vzqrII0OWsbj/edit?usp=drive_link&amp;ouid=103533695958335943637&amp;rtpof=true&amp;sd=true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</si>
</sst>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1B1B1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u/>
      <sz val="11"/>
      <color theme="10"/>
      <name val="Calibri"/>
      <family val="2"/>
      <charset val="1"/>
    </font>
    <font>
      <u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B1B19"/>
        <bgColor rgb="FF003300"/>
      </patternFill>
    </fill>
    <fill>
      <patternFill patternType="solid">
        <fgColor rgb="FFE2C57D"/>
        <bgColor rgb="FFFFC7CE"/>
      </patternFill>
    </fill>
    <fill>
      <patternFill patternType="solid">
        <fgColor rgb="FFFFF2A8"/>
        <bgColor rgb="FFFFFBD6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BD6"/>
        <bgColor rgb="FFF2F2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5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3" fillId="5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3" borderId="0" xfId="0" applyFont="1" applyFill="1"/>
    <xf numFmtId="0" fontId="7" fillId="4" borderId="1" xfId="0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/>
    </xf>
    <xf numFmtId="0" fontId="3" fillId="5" borderId="0" xfId="0" applyFont="1" applyFill="1"/>
    <xf numFmtId="0" fontId="1" fillId="2" borderId="0" xfId="0" applyFont="1" applyFill="1" applyAlignment="1">
      <alignment horizontal="left" vertical="center" indent="1"/>
    </xf>
    <xf numFmtId="0" fontId="5" fillId="0" borderId="0" xfId="0" applyFont="1"/>
    <xf numFmtId="0" fontId="2" fillId="3" borderId="1" xfId="0" applyFont="1" applyFill="1" applyBorder="1"/>
    <xf numFmtId="0" fontId="1" fillId="2" borderId="0" xfId="0" applyFont="1" applyFill="1" applyAlignment="1">
      <alignment vertical="center" indent="1"/>
    </xf>
    <xf numFmtId="0" fontId="8" fillId="7" borderId="1" xfId="1" applyFill="1" applyBorder="1" applyAlignment="1">
      <alignment horizontal="left" vertical="center" wrapText="1"/>
    </xf>
    <xf numFmtId="0" fontId="9" fillId="0" borderId="0" xfId="0" applyFont="1"/>
  </cellXfs>
  <cellStyles count="2">
    <cellStyle name="Hipervínculo" xfId="1" builtinId="8"/>
    <cellStyle name="Normal" xfId="0" builtinId="0"/>
  </cellStyles>
  <dxfs count="20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E2C57D"/>
      <rgbColor rgb="FF808080"/>
      <rgbColor rgb="FF9999FF"/>
      <rgbColor rgb="FFC0504D"/>
      <rgbColor rgb="FFFFFBD6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A8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1B1B19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Resultado de la ejecución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6FC-47D5-993A-EEE5ACECE52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6FC-47D5-993A-EEE5ACECE52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FC-47D5-993A-EEE5ACECE52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FC-47D5-993A-EEE5ACECE5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'E1-HU1'!$E$7:$E$8</c:f>
              <c:strCache>
                <c:ptCount val="2"/>
                <c:pt idx="0">
                  <c:v>CP con resultado OK</c:v>
                </c:pt>
                <c:pt idx="1">
                  <c:v>CP con resultado NOK</c:v>
                </c:pt>
              </c:strCache>
            </c:strRef>
          </c:cat>
          <c:val>
            <c:numRef>
              <c:f>'E1-HU1'!$F$7:$F$8</c:f>
              <c:numCache>
                <c:formatCode>0</c:formatCode>
                <c:ptCount val="2"/>
                <c:pt idx="0">
                  <c:v>16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FC-47D5-993A-EEE5ACECE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Resultado de la ejecución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B71-40AA-83DB-34F540F4764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B71-40AA-83DB-34F540F4764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71-40AA-83DB-34F540F4764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71-40AA-83DB-34F540F476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'E1-HU2'!$E$7:$E$8</c:f>
              <c:strCache>
                <c:ptCount val="2"/>
                <c:pt idx="0">
                  <c:v>CP con resultado OK</c:v>
                </c:pt>
                <c:pt idx="1">
                  <c:v>CP con resultado NOK</c:v>
                </c:pt>
              </c:strCache>
            </c:strRef>
          </c:cat>
          <c:val>
            <c:numRef>
              <c:f>'E1-HU2'!$F$7:$F$8</c:f>
              <c:numCache>
                <c:formatCode>0</c:formatCode>
                <c:ptCount val="2"/>
                <c:pt idx="0">
                  <c:v>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71-40AA-83DB-34F540F47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Resultado de la ejecución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1B6-49B0-83D0-3E0705932BF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1B6-49B0-83D0-3E0705932BF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B6-49B0-83D0-3E0705932BF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B6-49B0-83D0-3E0705932B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'E1-HU3'!$E$7:$E$8</c:f>
              <c:strCache>
                <c:ptCount val="2"/>
                <c:pt idx="0">
                  <c:v>CP con resultado OK</c:v>
                </c:pt>
                <c:pt idx="1">
                  <c:v>CP con resultado NOK</c:v>
                </c:pt>
              </c:strCache>
            </c:strRef>
          </c:cat>
          <c:val>
            <c:numRef>
              <c:f>'E1-HU3'!$F$7:$F$8</c:f>
              <c:numCache>
                <c:formatCode>0</c:formatCode>
                <c:ptCount val="2"/>
                <c:pt idx="0">
                  <c:v>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B6-49B0-83D0-3E0705932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Resultado de la ejecución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348-46CB-88F8-55A9A91A46F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348-46CB-88F8-55A9A91A46F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48-46CB-88F8-55A9A91A46F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48-46CB-88F8-55A9A91A46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'E1-HU4'!$E$7:$E$8</c:f>
              <c:strCache>
                <c:ptCount val="2"/>
                <c:pt idx="0">
                  <c:v>CP con resultado OK</c:v>
                </c:pt>
                <c:pt idx="1">
                  <c:v>CP con resultado NOK</c:v>
                </c:pt>
              </c:strCache>
            </c:strRef>
          </c:cat>
          <c:val>
            <c:numRef>
              <c:f>'E1-HU4'!$F$7:$F$8</c:f>
              <c:numCache>
                <c:formatCode>0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48-46CB-88F8-55A9A91A4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Resultado de la ejecución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ECF-4BA8-8B94-E34A379E1C3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ECF-4BA8-8B94-E34A379E1C3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CF-4BA8-8B94-E34A379E1C3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CF-4BA8-8B94-E34A379E1C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'E2-HU1'!$E$7:$E$8</c:f>
              <c:strCache>
                <c:ptCount val="2"/>
                <c:pt idx="0">
                  <c:v>CP con resultado OK</c:v>
                </c:pt>
                <c:pt idx="1">
                  <c:v>CP con resultado NOK</c:v>
                </c:pt>
              </c:strCache>
            </c:strRef>
          </c:cat>
          <c:val>
            <c:numRef>
              <c:f>'E2-HU1'!$F$7:$F$8</c:f>
              <c:numCache>
                <c:formatCode>0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CF-4BA8-8B94-E34A379E1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Resultado de la ejecución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C2B-48BF-9F5C-C22F1DEFD01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C2B-48BF-9F5C-C22F1DEFD01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2B-48BF-9F5C-C22F1DEFD01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2B-48BF-9F5C-C22F1DEFD0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'E2-HU2'!$E$7:$E$8</c:f>
              <c:strCache>
                <c:ptCount val="2"/>
                <c:pt idx="0">
                  <c:v>CP con resultado OK</c:v>
                </c:pt>
                <c:pt idx="1">
                  <c:v>CP con resultado NOK</c:v>
                </c:pt>
              </c:strCache>
            </c:strRef>
          </c:cat>
          <c:val>
            <c:numRef>
              <c:f>'E2-HU2'!$F$7:$F$8</c:f>
              <c:numCache>
                <c:formatCode>0</c:formatCode>
                <c:ptCount val="2"/>
                <c:pt idx="0">
                  <c:v>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2B-48BF-9F5C-C22F1DEFD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Resultado de la ejecución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E71-42BE-B10B-0333A77EE70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E71-42BE-B10B-0333A77EE70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71-42BE-B10B-0333A77EE70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71-42BE-B10B-0333A77EE7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'E2-HU3'!$E$7:$E$8</c:f>
              <c:strCache>
                <c:ptCount val="2"/>
                <c:pt idx="0">
                  <c:v>CP con resultado OK</c:v>
                </c:pt>
                <c:pt idx="1">
                  <c:v>CP con resultado NOK</c:v>
                </c:pt>
              </c:strCache>
            </c:strRef>
          </c:cat>
          <c:val>
            <c:numRef>
              <c:f>'E2-HU3'!$F$7:$F$8</c:f>
              <c:numCache>
                <c:formatCode>0</c:formatCode>
                <c:ptCount val="2"/>
                <c:pt idx="0">
                  <c:v>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71-42BE-B10B-0333A77EE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Resultado de la ejecución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F80-42AC-A8BA-E50469D9AE0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F80-42AC-A8BA-E50469D9AE0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80-42AC-A8BA-E50469D9AE0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80-42AC-A8BA-E50469D9AE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'E2-HU4'!$E$7:$E$8</c:f>
              <c:strCache>
                <c:ptCount val="2"/>
                <c:pt idx="0">
                  <c:v>CP con resultado OK</c:v>
                </c:pt>
                <c:pt idx="1">
                  <c:v>CP con resultado NOK</c:v>
                </c:pt>
              </c:strCache>
            </c:strRef>
          </c:cat>
          <c:val>
            <c:numRef>
              <c:f>'E2-HU4'!$F$7:$F$8</c:f>
              <c:numCache>
                <c:formatCode>0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80-42AC-A8BA-E50469D9A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Resultado de la ejecución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F03-453A-82F0-3FBD9F1222E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F03-453A-82F0-3FBD9F1222E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03-453A-82F0-3FBD9F1222E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O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03-453A-82F0-3FBD9F122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O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'Formato en blanco'!$E$7:$E$8</c:f>
              <c:strCache>
                <c:ptCount val="2"/>
                <c:pt idx="0">
                  <c:v>CP con resultado OK</c:v>
                </c:pt>
                <c:pt idx="1">
                  <c:v>CP con resultado NOK</c:v>
                </c:pt>
              </c:strCache>
            </c:strRef>
          </c:cat>
          <c:val>
            <c:numRef>
              <c:f>'Formato en blanco'!$F$7:$F$8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03-453A-82F0-3FBD9F122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8</xdr:col>
      <xdr:colOff>2111040</xdr:colOff>
      <xdr:row>14</xdr:row>
      <xdr:rowOff>23040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8</xdr:col>
      <xdr:colOff>2111040</xdr:colOff>
      <xdr:row>14</xdr:row>
      <xdr:rowOff>135360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8</xdr:col>
      <xdr:colOff>2111040</xdr:colOff>
      <xdr:row>14</xdr:row>
      <xdr:rowOff>135360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8</xdr:col>
      <xdr:colOff>2111040</xdr:colOff>
      <xdr:row>14</xdr:row>
      <xdr:rowOff>135360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8</xdr:col>
      <xdr:colOff>2111040</xdr:colOff>
      <xdr:row>14</xdr:row>
      <xdr:rowOff>135360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8</xdr:col>
      <xdr:colOff>2111040</xdr:colOff>
      <xdr:row>14</xdr:row>
      <xdr:rowOff>135360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8</xdr:col>
      <xdr:colOff>2111040</xdr:colOff>
      <xdr:row>14</xdr:row>
      <xdr:rowOff>135360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8</xdr:col>
      <xdr:colOff>2111040</xdr:colOff>
      <xdr:row>14</xdr:row>
      <xdr:rowOff>135360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8</xdr:col>
      <xdr:colOff>2111040</xdr:colOff>
      <xdr:row>14</xdr:row>
      <xdr:rowOff>135360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QQVp4MpEKhB28qrx3a3Iag5cRzZDnUSb/edit?usp=drive_link&amp;ouid=103533695958335943637&amp;rtpof=true&amp;sd=true" TargetMode="External"/><Relationship Id="rId13" Type="http://schemas.openxmlformats.org/officeDocument/2006/relationships/hyperlink" Target="https://docs.google.com/document/d/1QQVp4MpEKhB28qrx3a3Iag5cRzZDnUSb/edit?usp=drive_link&amp;ouid=103533695958335943637&amp;rtpof=true&amp;sd=true" TargetMode="External"/><Relationship Id="rId3" Type="http://schemas.openxmlformats.org/officeDocument/2006/relationships/hyperlink" Target="https://docs.google.com/document/d/1QQVp4MpEKhB28qrx3a3Iag5cRzZDnUSb/edit?usp=drive_link&amp;ouid=103533695958335943637&amp;rtpof=true&amp;sd=true" TargetMode="External"/><Relationship Id="rId7" Type="http://schemas.openxmlformats.org/officeDocument/2006/relationships/hyperlink" Target="https://docs.google.com/document/d/1QQVp4MpEKhB28qrx3a3Iag5cRzZDnUSb/edit?usp=drive_link&amp;ouid=103533695958335943637&amp;rtpof=true&amp;sd=true" TargetMode="External"/><Relationship Id="rId12" Type="http://schemas.openxmlformats.org/officeDocument/2006/relationships/hyperlink" Target="https://docs.google.com/document/d/1QQVp4MpEKhB28qrx3a3Iag5cRzZDnUSb/edit?usp=drive_link&amp;ouid=103533695958335943637&amp;rtpof=true&amp;sd=true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docs.google.com/document/d/1QQVp4MpEKhB28qrx3a3Iag5cRzZDnUSb/edit?usp=drive_link&amp;ouid=103533695958335943637&amp;rtpof=true&amp;sd=true" TargetMode="External"/><Relationship Id="rId16" Type="http://schemas.openxmlformats.org/officeDocument/2006/relationships/hyperlink" Target="https://docs.google.com/document/d/1QQVp4MpEKhB28qrx3a3Iag5cRzZDnUSb/edit?usp=drive_link&amp;ouid=103533695958335943637&amp;rtpof=true&amp;sd=true" TargetMode="External"/><Relationship Id="rId1" Type="http://schemas.openxmlformats.org/officeDocument/2006/relationships/hyperlink" Target="https://docs.google.com/document/d/1QQVp4MpEKhB28qrx3a3Iag5cRzZDnUSb/edit?usp=drive_link&amp;ouid=103533695958335943637&amp;rtpof=true&amp;sd=true" TargetMode="External"/><Relationship Id="rId6" Type="http://schemas.openxmlformats.org/officeDocument/2006/relationships/hyperlink" Target="https://docs.google.com/document/d/1QQVp4MpEKhB28qrx3a3Iag5cRzZDnUSb/edit?usp=drive_link&amp;ouid=103533695958335943637&amp;rtpof=true&amp;sd=true" TargetMode="External"/><Relationship Id="rId11" Type="http://schemas.openxmlformats.org/officeDocument/2006/relationships/hyperlink" Target="https://docs.google.com/document/d/1QQVp4MpEKhB28qrx3a3Iag5cRzZDnUSb/edit?usp=drive_link&amp;ouid=103533695958335943637&amp;rtpof=true&amp;sd=true" TargetMode="External"/><Relationship Id="rId5" Type="http://schemas.openxmlformats.org/officeDocument/2006/relationships/hyperlink" Target="https://docs.google.com/document/d/1QQVp4MpEKhB28qrx3a3Iag5cRzZDnUSb/edit?usp=drive_link&amp;ouid=103533695958335943637&amp;rtpof=true&amp;sd=true" TargetMode="External"/><Relationship Id="rId15" Type="http://schemas.openxmlformats.org/officeDocument/2006/relationships/hyperlink" Target="https://docs.google.com/document/d/1QQVp4MpEKhB28qrx3a3Iag5cRzZDnUSb/edit?usp=drive_link&amp;ouid=103533695958335943637&amp;rtpof=true&amp;sd=true" TargetMode="External"/><Relationship Id="rId10" Type="http://schemas.openxmlformats.org/officeDocument/2006/relationships/hyperlink" Target="https://docs.google.com/document/d/1QQVp4MpEKhB28qrx3a3Iag5cRzZDnUSb/edit?usp=drive_link&amp;ouid=103533695958335943637&amp;rtpof=true&amp;sd=true" TargetMode="External"/><Relationship Id="rId4" Type="http://schemas.openxmlformats.org/officeDocument/2006/relationships/hyperlink" Target="https://docs.google.com/document/d/1QQVp4MpEKhB28qrx3a3Iag5cRzZDnUSb/edit?usp=drive_link&amp;ouid=103533695958335943637&amp;rtpof=true&amp;sd=true" TargetMode="External"/><Relationship Id="rId9" Type="http://schemas.openxmlformats.org/officeDocument/2006/relationships/hyperlink" Target="https://docs.google.com/document/d/1QQVp4MpEKhB28qrx3a3Iag5cRzZDnUSb/edit?usp=drive_link&amp;ouid=103533695958335943637&amp;rtpof=true&amp;sd=true" TargetMode="External"/><Relationship Id="rId14" Type="http://schemas.openxmlformats.org/officeDocument/2006/relationships/hyperlink" Target="https://docs.google.com/document/d/1QQVp4MpEKhB28qrx3a3Iag5cRzZDnUSb/edit?usp=drive_link&amp;ouid=103533695958335943637&amp;rtpof=true&amp;sd=tru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qH6x9oWqjPh-aAiX5MJjBOjreEm26viX/edit?usp=drive_link&amp;ouid=103533695958335943637&amp;rtpof=true&amp;sd=true" TargetMode="External"/><Relationship Id="rId3" Type="http://schemas.openxmlformats.org/officeDocument/2006/relationships/hyperlink" Target="https://docs.google.com/document/d/1qH6x9oWqjPh-aAiX5MJjBOjreEm26viX/edit?usp=drive_link&amp;ouid=103533695958335943637&amp;rtpof=true&amp;sd=true" TargetMode="External"/><Relationship Id="rId7" Type="http://schemas.openxmlformats.org/officeDocument/2006/relationships/hyperlink" Target="https://docs.google.com/document/d/1qH6x9oWqjPh-aAiX5MJjBOjreEm26viX/edit?usp=drive_link&amp;ouid=103533695958335943637&amp;rtpof=true&amp;sd=true" TargetMode="External"/><Relationship Id="rId2" Type="http://schemas.openxmlformats.org/officeDocument/2006/relationships/hyperlink" Target="https://docs.google.com/document/d/1qH6x9oWqjPh-aAiX5MJjBOjreEm26viX/edit?usp=drive_link&amp;ouid=103533695958335943637&amp;rtpof=true&amp;sd=true" TargetMode="External"/><Relationship Id="rId1" Type="http://schemas.openxmlformats.org/officeDocument/2006/relationships/hyperlink" Target="https://docs.google.com/document/d/1qH6x9oWqjPh-aAiX5MJjBOjreEm26viX/edit?usp=drive_link&amp;ouid=103533695958335943637&amp;rtpof=true&amp;sd=true" TargetMode="External"/><Relationship Id="rId6" Type="http://schemas.openxmlformats.org/officeDocument/2006/relationships/hyperlink" Target="https://docs.google.com/document/d/1qH6x9oWqjPh-aAiX5MJjBOjreEm26viX/edit?usp=drive_link&amp;ouid=103533695958335943637&amp;rtpof=true&amp;sd=true" TargetMode="External"/><Relationship Id="rId5" Type="http://schemas.openxmlformats.org/officeDocument/2006/relationships/hyperlink" Target="https://docs.google.com/document/d/1qH6x9oWqjPh-aAiX5MJjBOjreEm26viX/edit?usp=drive_link&amp;ouid=103533695958335943637&amp;rtpof=true&amp;sd=true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https://docs.google.com/document/d/1qH6x9oWqjPh-aAiX5MJjBOjreEm26viX/edit?usp=drive_link&amp;ouid=103533695958335943637&amp;rtpof=true&amp;sd=true" TargetMode="External"/><Relationship Id="rId9" Type="http://schemas.openxmlformats.org/officeDocument/2006/relationships/hyperlink" Target="https://docs.google.com/document/d/1qH6x9oWqjPh-aAiX5MJjBOjreEm26viX/edit?usp=drive_link&amp;ouid=103533695958335943637&amp;rtpof=true&amp;sd=tru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https://docs.google.com/document/d/1_C8d_ZDSL8BJSZhFncwF0chnvJCmjNM0/edit?usp=drive_link&amp;ouid=103533695958335943637&amp;rtpof=true&amp;sd=true" TargetMode="External"/><Relationship Id="rId7" Type="http://schemas.openxmlformats.org/officeDocument/2006/relationships/hyperlink" Target="https://docs.google.com/document/d/1_C8d_ZDSL8BJSZhFncwF0chnvJCmjNM0/edit?usp=drive_link&amp;ouid=103533695958335943637&amp;rtpof=true&amp;sd=true" TargetMode="External"/><Relationship Id="rId2" Type="http://schemas.openxmlformats.org/officeDocument/2006/relationships/hyperlink" Target="https://docs.google.com/document/d/1_C8d_ZDSL8BJSZhFncwF0chnvJCmjNM0/edit?usp=drive_link&amp;ouid=103533695958335943637&amp;rtpof=true&amp;sd=true" TargetMode="External"/><Relationship Id="rId1" Type="http://schemas.openxmlformats.org/officeDocument/2006/relationships/hyperlink" Target="https://docs.google.com/document/d/1_C8d_ZDSL8BJSZhFncwF0chnvJCmjNM0/edit?usp=drive_link&amp;ouid=103533695958335943637&amp;rtpof=true&amp;sd=true" TargetMode="External"/><Relationship Id="rId6" Type="http://schemas.openxmlformats.org/officeDocument/2006/relationships/hyperlink" Target="https://docs.google.com/document/d/1_C8d_ZDSL8BJSZhFncwF0chnvJCmjNM0/edit?usp=drive_link&amp;ouid=103533695958335943637&amp;rtpof=true&amp;sd=true" TargetMode="External"/><Relationship Id="rId5" Type="http://schemas.openxmlformats.org/officeDocument/2006/relationships/hyperlink" Target="https://docs.google.com/document/d/1_C8d_ZDSL8BJSZhFncwF0chnvJCmjNM0/edit?usp=drive_link&amp;ouid=103533695958335943637&amp;rtpof=true&amp;sd=true" TargetMode="External"/><Relationship Id="rId4" Type="http://schemas.openxmlformats.org/officeDocument/2006/relationships/hyperlink" Target="https://docs.google.com/document/d/1_C8d_ZDSL8BJSZhFncwF0chnvJCmjNM0/edit?usp=drive_link&amp;ouid=103533695958335943637&amp;rtpof=true&amp;sd=tru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-qbGi9E85ciCa6cZzggyylpTzn9xzpVn/edit?usp=drive_link&amp;ouid=103533695958335943637&amp;rtpof=true&amp;sd=true" TargetMode="External"/><Relationship Id="rId7" Type="http://schemas.openxmlformats.org/officeDocument/2006/relationships/drawing" Target="../drawings/drawing4.xml"/><Relationship Id="rId2" Type="http://schemas.openxmlformats.org/officeDocument/2006/relationships/hyperlink" Target="https://docs.google.com/document/d/1-qbGi9E85ciCa6cZzggyylpTzn9xzpVn/edit?usp=drive_link&amp;ouid=103533695958335943637&amp;rtpof=true&amp;sd=true" TargetMode="External"/><Relationship Id="rId1" Type="http://schemas.openxmlformats.org/officeDocument/2006/relationships/hyperlink" Target="https://docs.google.com/document/d/1-qbGi9E85ciCa6cZzggyylpTzn9xzpVn/edit?usp=drive_link&amp;ouid=103533695958335943637&amp;rtpof=true&amp;sd=true" TargetMode="External"/><Relationship Id="rId6" Type="http://schemas.openxmlformats.org/officeDocument/2006/relationships/hyperlink" Target="https://docs.google.com/document/d/1-qbGi9E85ciCa6cZzggyylpTzn9xzpVn/edit?usp=drive_link&amp;ouid=103533695958335943637&amp;rtpof=true&amp;sd=true" TargetMode="External"/><Relationship Id="rId5" Type="http://schemas.openxmlformats.org/officeDocument/2006/relationships/hyperlink" Target="https://docs.google.com/document/d/1-qbGi9E85ciCa6cZzggyylpTzn9xzpVn/edit?usp=drive_link&amp;ouid=103533695958335943637&amp;rtpof=true&amp;sd=true" TargetMode="External"/><Relationship Id="rId4" Type="http://schemas.openxmlformats.org/officeDocument/2006/relationships/hyperlink" Target="https://docs.google.com/document/d/1-qbGi9E85ciCa6cZzggyylpTzn9xzpVn/edit?usp=drive_link&amp;ouid=103533695958335943637&amp;rtpof=true&amp;sd=tru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NfQHTG3vGCu2g09koHiX7udgol7BF719/edit?usp=drive_link&amp;ouid=103533695958335943637&amp;rtpof=true&amp;sd=true" TargetMode="External"/><Relationship Id="rId3" Type="http://schemas.openxmlformats.org/officeDocument/2006/relationships/hyperlink" Target="https://docs.google.com/document/d/1NfQHTG3vGCu2g09koHiX7udgol7BF719/edit?usp=drive_link&amp;ouid=103533695958335943637&amp;rtpof=true&amp;sd=true" TargetMode="External"/><Relationship Id="rId7" Type="http://schemas.openxmlformats.org/officeDocument/2006/relationships/hyperlink" Target="https://docs.google.com/document/d/1NfQHTG3vGCu2g09koHiX7udgol7BF719/edit?usp=drive_link&amp;ouid=103533695958335943637&amp;rtpof=true&amp;sd=true" TargetMode="External"/><Relationship Id="rId2" Type="http://schemas.openxmlformats.org/officeDocument/2006/relationships/hyperlink" Target="https://docs.google.com/document/d/1NfQHTG3vGCu2g09koHiX7udgol7BF719/edit?usp=drive_link&amp;ouid=103533695958335943637&amp;rtpof=true&amp;sd=true" TargetMode="External"/><Relationship Id="rId1" Type="http://schemas.openxmlformats.org/officeDocument/2006/relationships/hyperlink" Target="https://docs.google.com/document/d/1NfQHTG3vGCu2g09koHiX7udgol7BF719/edit?usp=drive_link&amp;ouid=103533695958335943637&amp;rtpof=true&amp;sd=true" TargetMode="External"/><Relationship Id="rId6" Type="http://schemas.openxmlformats.org/officeDocument/2006/relationships/hyperlink" Target="https://docs.google.com/document/d/1NfQHTG3vGCu2g09koHiX7udgol7BF719/edit?usp=drive_link&amp;ouid=103533695958335943637&amp;rtpof=true&amp;sd=true" TargetMode="External"/><Relationship Id="rId11" Type="http://schemas.openxmlformats.org/officeDocument/2006/relationships/drawing" Target="../drawings/drawing5.xml"/><Relationship Id="rId5" Type="http://schemas.openxmlformats.org/officeDocument/2006/relationships/hyperlink" Target="https://docs.google.com/document/d/1NfQHTG3vGCu2g09koHiX7udgol7BF719/edit?usp=drive_link&amp;ouid=103533695958335943637&amp;rtpof=true&amp;sd=true" TargetMode="External"/><Relationship Id="rId10" Type="http://schemas.openxmlformats.org/officeDocument/2006/relationships/hyperlink" Target="https://docs.google.com/document/d/1NfQHTG3vGCu2g09koHiX7udgol7BF719/edit?usp=drive_link&amp;ouid=103533695958335943637&amp;rtpof=true&amp;sd=true" TargetMode="External"/><Relationship Id="rId4" Type="http://schemas.openxmlformats.org/officeDocument/2006/relationships/hyperlink" Target="https://docs.google.com/document/d/1NfQHTG3vGCu2g09koHiX7udgol7BF719/edit?usp=drive_link&amp;ouid=103533695958335943637&amp;rtpof=true&amp;sd=true" TargetMode="External"/><Relationship Id="rId9" Type="http://schemas.openxmlformats.org/officeDocument/2006/relationships/hyperlink" Target="https://docs.google.com/document/d/1NfQHTG3vGCu2g09koHiX7udgol7BF719/edit?usp=drive_link&amp;ouid=103533695958335943637&amp;rtpof=true&amp;sd=true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https://docs.google.com/document/d/1lRqV1zrO9mUMZ58Zv8bgMuRSpJwCJOTD/edit?usp=drive_link&amp;ouid=103533695958335943637&amp;rtpof=true&amp;sd=true" TargetMode="External"/><Relationship Id="rId7" Type="http://schemas.openxmlformats.org/officeDocument/2006/relationships/hyperlink" Target="https://docs.google.com/document/d/1lRqV1zrO9mUMZ58Zv8bgMuRSpJwCJOTD/edit?usp=drive_link&amp;ouid=103533695958335943637&amp;rtpof=true&amp;sd=true" TargetMode="External"/><Relationship Id="rId2" Type="http://schemas.openxmlformats.org/officeDocument/2006/relationships/hyperlink" Target="https://docs.google.com/document/d/1lRqV1zrO9mUMZ58Zv8bgMuRSpJwCJOTD/edit?usp=drive_link&amp;ouid=103533695958335943637&amp;rtpof=true&amp;sd=true" TargetMode="External"/><Relationship Id="rId1" Type="http://schemas.openxmlformats.org/officeDocument/2006/relationships/hyperlink" Target="https://docs.google.com/document/d/1lRqV1zrO9mUMZ58Zv8bgMuRSpJwCJOTD/edit?usp=drive_link&amp;ouid=103533695958335943637&amp;rtpof=true&amp;sd=true" TargetMode="External"/><Relationship Id="rId6" Type="http://schemas.openxmlformats.org/officeDocument/2006/relationships/hyperlink" Target="https://docs.google.com/document/d/1lRqV1zrO9mUMZ58Zv8bgMuRSpJwCJOTD/edit?usp=drive_link&amp;ouid=103533695958335943637&amp;rtpof=true&amp;sd=true" TargetMode="External"/><Relationship Id="rId5" Type="http://schemas.openxmlformats.org/officeDocument/2006/relationships/hyperlink" Target="https://docs.google.com/document/d/1lRqV1zrO9mUMZ58Zv8bgMuRSpJwCJOTD/edit?usp=drive_link&amp;ouid=103533695958335943637&amp;rtpof=true&amp;sd=true" TargetMode="External"/><Relationship Id="rId4" Type="http://schemas.openxmlformats.org/officeDocument/2006/relationships/hyperlink" Target="https://docs.google.com/document/d/1lRqV1zrO9mUMZ58Zv8bgMuRSpJwCJOTD/edit?usp=drive_link&amp;ouid=103533695958335943637&amp;rtpof=true&amp;sd=true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7.xml"/><Relationship Id="rId3" Type="http://schemas.openxmlformats.org/officeDocument/2006/relationships/hyperlink" Target="https://docs.google.com/document/d/12UGBbx7oETFpF6f8n3GpEMTCk2YpFju2/edit?usp=drive_link&amp;ouid=103533695958335943637&amp;rtpof=true&amp;sd=true" TargetMode="External"/><Relationship Id="rId7" Type="http://schemas.openxmlformats.org/officeDocument/2006/relationships/hyperlink" Target="https://docs.google.com/document/d/12UGBbx7oETFpF6f8n3GpEMTCk2YpFju2/edit?usp=drive_link&amp;ouid=103533695958335943637&amp;rtpof=true&amp;sd=true" TargetMode="External"/><Relationship Id="rId2" Type="http://schemas.openxmlformats.org/officeDocument/2006/relationships/hyperlink" Target="https://docs.google.com/document/d/12UGBbx7oETFpF6f8n3GpEMTCk2YpFju2/edit?usp=drive_link&amp;ouid=103533695958335943637&amp;rtpof=true&amp;sd=true" TargetMode="External"/><Relationship Id="rId1" Type="http://schemas.openxmlformats.org/officeDocument/2006/relationships/hyperlink" Target="https://docs.google.com/document/d/12UGBbx7oETFpF6f8n3GpEMTCk2YpFju2/edit?usp=drive_link&amp;ouid=103533695958335943637&amp;rtpof=true&amp;sd=true" TargetMode="External"/><Relationship Id="rId6" Type="http://schemas.openxmlformats.org/officeDocument/2006/relationships/hyperlink" Target="https://docs.google.com/document/d/12UGBbx7oETFpF6f8n3GpEMTCk2YpFju2/edit?usp=drive_link&amp;ouid=103533695958335943637&amp;rtpof=true&amp;sd=true" TargetMode="External"/><Relationship Id="rId5" Type="http://schemas.openxmlformats.org/officeDocument/2006/relationships/hyperlink" Target="https://docs.google.com/document/d/12UGBbx7oETFpF6f8n3GpEMTCk2YpFju2/edit?usp=drive_link&amp;ouid=103533695958335943637&amp;rtpof=true&amp;sd=true" TargetMode="External"/><Relationship Id="rId4" Type="http://schemas.openxmlformats.org/officeDocument/2006/relationships/hyperlink" Target="https://docs.google.com/document/d/12UGBbx7oETFpF6f8n3GpEMTCk2YpFju2/edit?usp=drive_link&amp;ouid=103533695958335943637&amp;rtpof=true&amp;sd=true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8.xml"/><Relationship Id="rId3" Type="http://schemas.openxmlformats.org/officeDocument/2006/relationships/hyperlink" Target="https://docs.google.com/document/d/1ATvnsXWQaRYnv9AjN803vzqrII0OWsbj/edit?usp=drive_link&amp;ouid=103533695958335943637&amp;rtpof=true&amp;sd=true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document/d/1ATvnsXWQaRYnv9AjN803vzqrII0OWsbj/edit?usp=drive_link&amp;ouid=103533695958335943637&amp;rtpof=true&amp;sd=true" TargetMode="External"/><Relationship Id="rId1" Type="http://schemas.openxmlformats.org/officeDocument/2006/relationships/hyperlink" Target="https://docs.google.com/document/d/1ATvnsXWQaRYnv9AjN803vzqrII0OWsbj/edit?usp=drive_link&amp;ouid=103533695958335943637&amp;rtpof=true&amp;sd=true" TargetMode="External"/><Relationship Id="rId6" Type="http://schemas.openxmlformats.org/officeDocument/2006/relationships/hyperlink" Target="https://docs.google.com/document/d/1ATvnsXWQaRYnv9AjN803vzqrII0OWsbj/edit?usp=drive_link&amp;ouid=103533695958335943637&amp;rtpof=true&amp;sd=true" TargetMode="External"/><Relationship Id="rId5" Type="http://schemas.openxmlformats.org/officeDocument/2006/relationships/hyperlink" Target="https://docs.google.com/document/d/1ATvnsXWQaRYnv9AjN803vzqrII0OWsbj/edit?usp=drive_link&amp;ouid=103533695958335943637&amp;rtpof=true&amp;sd=true" TargetMode="External"/><Relationship Id="rId4" Type="http://schemas.openxmlformats.org/officeDocument/2006/relationships/hyperlink" Target="https://docs.google.com/document/d/1ATvnsXWQaRYnv9AjN803vzqrII0OWsbj/edit?usp=drive_link&amp;ouid=103533695958335943637&amp;rtpof=true&amp;sd=tru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zoomScaleNormal="100" workbookViewId="0">
      <selection sqref="A1:B1"/>
    </sheetView>
  </sheetViews>
  <sheetFormatPr baseColWidth="10" defaultColWidth="8.6640625" defaultRowHeight="14.4" x14ac:dyDescent="0.3"/>
  <cols>
    <col min="1" max="1" width="34" customWidth="1"/>
    <col min="2" max="2" width="115" customWidth="1"/>
  </cols>
  <sheetData>
    <row r="1" spans="1:2" ht="33.75" customHeight="1" x14ac:dyDescent="0.3">
      <c r="A1" s="34" t="s">
        <v>0</v>
      </c>
      <c r="B1" s="34"/>
    </row>
    <row r="3" spans="1:2" ht="15" customHeight="1" x14ac:dyDescent="0.3">
      <c r="A3" s="27" t="s">
        <v>1</v>
      </c>
      <c r="B3" s="27"/>
    </row>
    <row r="4" spans="1:2" ht="30" customHeight="1" x14ac:dyDescent="0.3">
      <c r="A4" s="2" t="s">
        <v>2</v>
      </c>
      <c r="B4" s="3" t="s">
        <v>3</v>
      </c>
    </row>
    <row r="5" spans="1:2" ht="30" customHeight="1" x14ac:dyDescent="0.3">
      <c r="A5" s="2" t="s">
        <v>4</v>
      </c>
      <c r="B5" s="3" t="s">
        <v>5</v>
      </c>
    </row>
    <row r="6" spans="1:2" ht="18" customHeight="1" x14ac:dyDescent="0.3">
      <c r="A6" s="2" t="s">
        <v>6</v>
      </c>
      <c r="B6" s="3" t="s">
        <v>7</v>
      </c>
    </row>
    <row r="7" spans="1:2" ht="15" customHeight="1" x14ac:dyDescent="0.3">
      <c r="A7" s="27" t="s">
        <v>8</v>
      </c>
      <c r="B7" s="27"/>
    </row>
    <row r="8" spans="1:2" ht="45" customHeight="1" x14ac:dyDescent="0.3">
      <c r="A8" s="2" t="s">
        <v>9</v>
      </c>
      <c r="B8" s="3" t="s">
        <v>10</v>
      </c>
    </row>
    <row r="9" spans="1:2" ht="15" customHeight="1" x14ac:dyDescent="0.3">
      <c r="A9" s="27" t="s">
        <v>11</v>
      </c>
      <c r="B9" s="27"/>
    </row>
    <row r="10" spans="1:2" ht="18" customHeight="1" x14ac:dyDescent="0.3">
      <c r="A10" s="2" t="s">
        <v>12</v>
      </c>
      <c r="B10" s="3" t="s">
        <v>13</v>
      </c>
    </row>
    <row r="11" spans="1:2" ht="18" customHeight="1" x14ac:dyDescent="0.3">
      <c r="A11" s="2" t="s">
        <v>14</v>
      </c>
      <c r="B11" s="3" t="s">
        <v>15</v>
      </c>
    </row>
    <row r="12" spans="1:2" ht="18" customHeight="1" x14ac:dyDescent="0.3">
      <c r="A12" s="2" t="s">
        <v>16</v>
      </c>
      <c r="B12" s="3" t="s">
        <v>17</v>
      </c>
    </row>
    <row r="13" spans="1:2" ht="30" customHeight="1" x14ac:dyDescent="0.3">
      <c r="A13" s="2" t="s">
        <v>18</v>
      </c>
      <c r="B13" s="3" t="s">
        <v>19</v>
      </c>
    </row>
    <row r="14" spans="1:2" ht="30" customHeight="1" x14ac:dyDescent="0.3">
      <c r="A14" s="2" t="s">
        <v>20</v>
      </c>
      <c r="B14" s="3" t="s">
        <v>21</v>
      </c>
    </row>
    <row r="15" spans="1:2" ht="18" customHeight="1" x14ac:dyDescent="0.3">
      <c r="A15" s="2" t="s">
        <v>22</v>
      </c>
      <c r="B15" s="3" t="s">
        <v>23</v>
      </c>
    </row>
    <row r="16" spans="1:2" ht="30" customHeight="1" x14ac:dyDescent="0.3">
      <c r="A16" s="2" t="s">
        <v>24</v>
      </c>
      <c r="B16" s="3" t="s">
        <v>25</v>
      </c>
    </row>
    <row r="17" spans="1:2" ht="15" customHeight="1" x14ac:dyDescent="0.3">
      <c r="A17" s="27" t="s">
        <v>26</v>
      </c>
      <c r="B17" s="27"/>
    </row>
    <row r="18" spans="1:2" ht="30" customHeight="1" x14ac:dyDescent="0.3">
      <c r="A18" s="2" t="s">
        <v>27</v>
      </c>
      <c r="B18" s="3" t="s">
        <v>28</v>
      </c>
    </row>
    <row r="19" spans="1:2" ht="30" customHeight="1" x14ac:dyDescent="0.3">
      <c r="A19" s="2" t="s">
        <v>29</v>
      </c>
      <c r="B19" s="3" t="s">
        <v>30</v>
      </c>
    </row>
    <row r="20" spans="1:2" ht="45" customHeight="1" x14ac:dyDescent="0.3">
      <c r="A20" s="2" t="s">
        <v>31</v>
      </c>
      <c r="B20" s="3" t="s">
        <v>32</v>
      </c>
    </row>
    <row r="21" spans="1:2" ht="15" customHeight="1" x14ac:dyDescent="0.3">
      <c r="A21" s="27" t="s">
        <v>33</v>
      </c>
      <c r="B21" s="27"/>
    </row>
    <row r="22" spans="1:2" ht="18" customHeight="1" x14ac:dyDescent="0.3">
      <c r="A22" s="2" t="s">
        <v>34</v>
      </c>
      <c r="B22" s="3" t="s">
        <v>35</v>
      </c>
    </row>
    <row r="23" spans="1:2" ht="30" customHeight="1" x14ac:dyDescent="0.3">
      <c r="A23" s="2" t="s">
        <v>36</v>
      </c>
      <c r="B23" s="3" t="s">
        <v>37</v>
      </c>
    </row>
    <row r="24" spans="1:2" ht="30" customHeight="1" x14ac:dyDescent="0.3">
      <c r="A24" s="2" t="s">
        <v>38</v>
      </c>
      <c r="B24" s="3" t="s">
        <v>39</v>
      </c>
    </row>
    <row r="25" spans="1:2" ht="30" customHeight="1" x14ac:dyDescent="0.3">
      <c r="A25" s="2" t="s">
        <v>40</v>
      </c>
      <c r="B25" s="3" t="s">
        <v>41</v>
      </c>
    </row>
    <row r="26" spans="1:2" ht="30" customHeight="1" x14ac:dyDescent="0.3">
      <c r="A26" s="2" t="s">
        <v>42</v>
      </c>
      <c r="B26" s="3" t="s">
        <v>43</v>
      </c>
    </row>
    <row r="27" spans="1:2" ht="30" customHeight="1" x14ac:dyDescent="0.3">
      <c r="A27" s="2" t="s">
        <v>44</v>
      </c>
      <c r="B27" s="3" t="s">
        <v>45</v>
      </c>
    </row>
    <row r="28" spans="1:2" ht="30" customHeight="1" x14ac:dyDescent="0.3">
      <c r="A28" s="2" t="s">
        <v>46</v>
      </c>
      <c r="B28" s="3" t="s">
        <v>47</v>
      </c>
    </row>
  </sheetData>
  <mergeCells count="6">
    <mergeCell ref="A21:B21"/>
    <mergeCell ref="A1:B1"/>
    <mergeCell ref="A3:B3"/>
    <mergeCell ref="A7:B7"/>
    <mergeCell ref="A9:B9"/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12" customWidth="1"/>
    <col min="2" max="2" width="38" customWidth="1"/>
    <col min="3" max="3" width="14" customWidth="1"/>
    <col min="4" max="9" width="12" customWidth="1"/>
    <col min="10" max="10" width="14" customWidth="1"/>
    <col min="11" max="11" width="22" customWidth="1"/>
  </cols>
  <sheetData>
    <row r="1" spans="1:11" ht="33.75" customHeight="1" x14ac:dyDescent="0.3">
      <c r="A1" s="34" t="s">
        <v>48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5" customHeight="1" x14ac:dyDescent="0.3">
      <c r="A2" s="32" t="s">
        <v>49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4" spans="1:11" ht="36" customHeight="1" x14ac:dyDescent="0.3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</row>
    <row r="5" spans="1:11" ht="15" customHeight="1" x14ac:dyDescent="0.3">
      <c r="A5" s="5" t="s">
        <v>61</v>
      </c>
      <c r="B5" s="3" t="s">
        <v>62</v>
      </c>
      <c r="C5" s="5" t="s">
        <v>63</v>
      </c>
      <c r="D5" s="6">
        <f>'E1-HU1'!F5</f>
        <v>16</v>
      </c>
      <c r="E5" s="6">
        <f>'E1-HU1'!F12</f>
        <v>4</v>
      </c>
      <c r="F5" s="6">
        <f>'E1-HU1'!F13</f>
        <v>12</v>
      </c>
      <c r="G5" s="6">
        <f>'E1-HU1'!F6</f>
        <v>16</v>
      </c>
      <c r="H5" s="6">
        <f>'E1-HU1'!F7</f>
        <v>16</v>
      </c>
      <c r="I5" s="6">
        <f>'E1-HU1'!F8</f>
        <v>0</v>
      </c>
      <c r="J5" s="6">
        <f>'E1-HU1'!F11</f>
        <v>0</v>
      </c>
      <c r="K5" s="5" t="str">
        <f t="shared" ref="K5:K12" si="0">IF(AND(E5&gt;=2,F5&gt;=1),"Sí cumple","NO cumple")</f>
        <v>Sí cumple</v>
      </c>
    </row>
    <row r="6" spans="1:11" ht="15" customHeight="1" x14ac:dyDescent="0.3">
      <c r="A6" s="5" t="s">
        <v>64</v>
      </c>
      <c r="B6" s="3" t="s">
        <v>65</v>
      </c>
      <c r="C6" s="5" t="s">
        <v>63</v>
      </c>
      <c r="D6" s="6">
        <f>'E1-HU2'!F5</f>
        <v>9</v>
      </c>
      <c r="E6" s="6">
        <f>'E1-HU2'!F12</f>
        <v>3</v>
      </c>
      <c r="F6" s="6">
        <f>'E1-HU2'!F13</f>
        <v>6</v>
      </c>
      <c r="G6" s="6">
        <f>'E1-HU2'!F6</f>
        <v>9</v>
      </c>
      <c r="H6" s="6">
        <f>'E1-HU2'!F7</f>
        <v>9</v>
      </c>
      <c r="I6" s="6">
        <f>'E1-HU2'!F8</f>
        <v>0</v>
      </c>
      <c r="J6" s="6">
        <f>'E1-HU2'!F11</f>
        <v>0</v>
      </c>
      <c r="K6" s="5" t="str">
        <f t="shared" si="0"/>
        <v>Sí cumple</v>
      </c>
    </row>
    <row r="7" spans="1:11" ht="15" customHeight="1" x14ac:dyDescent="0.3">
      <c r="A7" s="5" t="s">
        <v>66</v>
      </c>
      <c r="B7" s="3" t="s">
        <v>67</v>
      </c>
      <c r="C7" s="5" t="s">
        <v>63</v>
      </c>
      <c r="D7" s="6">
        <f>'E1-HU3'!F5</f>
        <v>7</v>
      </c>
      <c r="E7" s="6">
        <f>'E1-HU3'!F12</f>
        <v>3</v>
      </c>
      <c r="F7" s="6">
        <f>'E1-HU3'!F13</f>
        <v>4</v>
      </c>
      <c r="G7" s="6">
        <f>'E1-HU3'!F6</f>
        <v>7</v>
      </c>
      <c r="H7" s="6">
        <f>'E1-HU3'!F7</f>
        <v>7</v>
      </c>
      <c r="I7" s="6">
        <f>'E1-HU3'!F8</f>
        <v>0</v>
      </c>
      <c r="J7" s="6">
        <f>'E1-HU3'!F11</f>
        <v>0</v>
      </c>
      <c r="K7" s="5" t="str">
        <f t="shared" si="0"/>
        <v>Sí cumple</v>
      </c>
    </row>
    <row r="8" spans="1:11" ht="15" customHeight="1" x14ac:dyDescent="0.3">
      <c r="A8" s="5" t="s">
        <v>68</v>
      </c>
      <c r="B8" s="3" t="s">
        <v>69</v>
      </c>
      <c r="C8" s="5" t="s">
        <v>63</v>
      </c>
      <c r="D8" s="6">
        <f>'E1-HU4'!F5</f>
        <v>6</v>
      </c>
      <c r="E8" s="6">
        <f>'E1-HU4'!F12</f>
        <v>4</v>
      </c>
      <c r="F8" s="6">
        <f>'E1-HU4'!F13</f>
        <v>2</v>
      </c>
      <c r="G8" s="6">
        <f>'E1-HU4'!F6</f>
        <v>6</v>
      </c>
      <c r="H8" s="6">
        <f>'E1-HU4'!F7</f>
        <v>6</v>
      </c>
      <c r="I8" s="6">
        <f>'E1-HU4'!F8</f>
        <v>0</v>
      </c>
      <c r="J8" s="6">
        <f>'E1-HU4'!F11</f>
        <v>0</v>
      </c>
      <c r="K8" s="5" t="str">
        <f t="shared" si="0"/>
        <v>Sí cumple</v>
      </c>
    </row>
    <row r="9" spans="1:11" ht="15" customHeight="1" x14ac:dyDescent="0.3">
      <c r="A9" s="5" t="s">
        <v>70</v>
      </c>
      <c r="B9" s="3" t="s">
        <v>71</v>
      </c>
      <c r="C9" s="5" t="s">
        <v>72</v>
      </c>
      <c r="D9" s="6">
        <f>'E2-HU1'!F5</f>
        <v>10</v>
      </c>
      <c r="E9" s="6">
        <f>'E2-HU1'!F12</f>
        <v>3</v>
      </c>
      <c r="F9" s="6">
        <f>'E2-HU1'!F13</f>
        <v>7</v>
      </c>
      <c r="G9" s="6">
        <f>'E2-HU1'!F6</f>
        <v>10</v>
      </c>
      <c r="H9" s="6">
        <f>'E2-HU1'!F7</f>
        <v>10</v>
      </c>
      <c r="I9" s="6">
        <f>'E2-HU1'!F8</f>
        <v>0</v>
      </c>
      <c r="J9" s="6">
        <f>'E2-HU1'!F11</f>
        <v>0</v>
      </c>
      <c r="K9" s="5" t="str">
        <f t="shared" si="0"/>
        <v>Sí cumple</v>
      </c>
    </row>
    <row r="10" spans="1:11" ht="15" customHeight="1" x14ac:dyDescent="0.3">
      <c r="A10" s="5" t="s">
        <v>73</v>
      </c>
      <c r="B10" s="3" t="s">
        <v>74</v>
      </c>
      <c r="C10" s="5" t="s">
        <v>72</v>
      </c>
      <c r="D10" s="6">
        <f>'E2-HU2'!F5</f>
        <v>7</v>
      </c>
      <c r="E10" s="6">
        <f>'E2-HU2'!F12</f>
        <v>3</v>
      </c>
      <c r="F10" s="6">
        <f>'E2-HU2'!F13</f>
        <v>4</v>
      </c>
      <c r="G10" s="6">
        <f>'E2-HU2'!F6</f>
        <v>7</v>
      </c>
      <c r="H10" s="6">
        <f>'E2-HU2'!F7</f>
        <v>7</v>
      </c>
      <c r="I10" s="6">
        <f>'E2-HU2'!F8</f>
        <v>0</v>
      </c>
      <c r="J10" s="6">
        <f>'E2-HU2'!F11</f>
        <v>0</v>
      </c>
      <c r="K10" s="5" t="str">
        <f t="shared" si="0"/>
        <v>Sí cumple</v>
      </c>
    </row>
    <row r="11" spans="1:11" ht="15" customHeight="1" x14ac:dyDescent="0.3">
      <c r="A11" s="5" t="s">
        <v>75</v>
      </c>
      <c r="B11" s="3" t="s">
        <v>76</v>
      </c>
      <c r="C11" s="5" t="s">
        <v>72</v>
      </c>
      <c r="D11" s="6">
        <f>'E2-HU3'!F5</f>
        <v>7</v>
      </c>
      <c r="E11" s="6">
        <f>'E2-HU3'!F12</f>
        <v>3</v>
      </c>
      <c r="F11" s="6">
        <f>'E2-HU3'!F13</f>
        <v>4</v>
      </c>
      <c r="G11" s="6">
        <f>'E2-HU3'!F6</f>
        <v>7</v>
      </c>
      <c r="H11" s="6">
        <f>'E2-HU3'!F7</f>
        <v>7</v>
      </c>
      <c r="I11" s="6">
        <f>'E2-HU3'!F8</f>
        <v>0</v>
      </c>
      <c r="J11" s="6">
        <f>'E2-HU3'!F11</f>
        <v>0</v>
      </c>
      <c r="K11" s="5" t="str">
        <f t="shared" si="0"/>
        <v>Sí cumple</v>
      </c>
    </row>
    <row r="12" spans="1:11" ht="15" customHeight="1" x14ac:dyDescent="0.3">
      <c r="A12" s="5" t="s">
        <v>77</v>
      </c>
      <c r="B12" s="3" t="s">
        <v>78</v>
      </c>
      <c r="C12" s="5" t="s">
        <v>72</v>
      </c>
      <c r="D12" s="6">
        <f>'E2-HU4'!F5</f>
        <v>6</v>
      </c>
      <c r="E12" s="6">
        <f>'E2-HU4'!F12</f>
        <v>4</v>
      </c>
      <c r="F12" s="6">
        <f>'E2-HU4'!F13</f>
        <v>2</v>
      </c>
      <c r="G12" s="6">
        <f>'E2-HU4'!F6</f>
        <v>6</v>
      </c>
      <c r="H12" s="6">
        <f>'E2-HU4'!F7</f>
        <v>6</v>
      </c>
      <c r="I12" s="6">
        <f>'E2-HU4'!F8</f>
        <v>0</v>
      </c>
      <c r="J12" s="6">
        <f>'E2-HU4'!F11</f>
        <v>0</v>
      </c>
      <c r="K12" s="5" t="str">
        <f t="shared" si="0"/>
        <v>Sí cumple</v>
      </c>
    </row>
    <row r="13" spans="1:11" ht="15" customHeight="1" x14ac:dyDescent="0.3">
      <c r="A13" s="7" t="s">
        <v>79</v>
      </c>
      <c r="B13" s="7"/>
      <c r="C13" s="8"/>
      <c r="D13" s="9">
        <f t="shared" ref="D13:J13" si="1">SUM(D5:D12)</f>
        <v>68</v>
      </c>
      <c r="E13" s="9">
        <f t="shared" si="1"/>
        <v>27</v>
      </c>
      <c r="F13" s="9">
        <f t="shared" si="1"/>
        <v>41</v>
      </c>
      <c r="G13" s="9">
        <f t="shared" si="1"/>
        <v>68</v>
      </c>
      <c r="H13" s="9">
        <f t="shared" si="1"/>
        <v>68</v>
      </c>
      <c r="I13" s="9">
        <f t="shared" si="1"/>
        <v>0</v>
      </c>
      <c r="J13" s="9">
        <f t="shared" si="1"/>
        <v>0</v>
      </c>
      <c r="K13" s="8"/>
    </row>
    <row r="15" spans="1:11" ht="15" customHeight="1" x14ac:dyDescent="0.3">
      <c r="A15" s="1" t="s">
        <v>80</v>
      </c>
    </row>
  </sheetData>
  <mergeCells count="2">
    <mergeCell ref="A1:K1"/>
    <mergeCell ref="A2:K2"/>
  </mergeCells>
  <conditionalFormatting sqref="K5:K12">
    <cfRule type="cellIs" dxfId="19" priority="2" operator="equal">
      <formula>"Sí cumple"</formula>
    </cfRule>
    <cfRule type="cellIs" dxfId="18" priority="3" operator="equal">
      <formula>"NO cumple"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14"/>
  <sheetViews>
    <sheetView showGridLines="0" zoomScale="76" zoomScaleNormal="100" workbookViewId="0">
      <pane xSplit="1" ySplit="18" topLeftCell="B106" activePane="bottomRight" state="frozen"/>
      <selection pane="topRight" activeCell="B1" sqref="B1"/>
      <selection pane="bottomLeft" activeCell="A19" sqref="A19"/>
      <selection pane="bottomRight" activeCell="G117" sqref="G117"/>
    </sheetView>
  </sheetViews>
  <sheetFormatPr baseColWidth="10" defaultColWidth="8.6640625" defaultRowHeight="14.4" x14ac:dyDescent="0.3"/>
  <cols>
    <col min="1" max="1" width="34" customWidth="1"/>
    <col min="2" max="2" width="22" customWidth="1"/>
    <col min="3" max="3" width="40" customWidth="1"/>
    <col min="4" max="4" width="14" customWidth="1"/>
    <col min="5" max="5" width="52" customWidth="1"/>
    <col min="6" max="6" width="16" customWidth="1"/>
    <col min="7" max="7" width="36" customWidth="1"/>
    <col min="8" max="8" width="16" customWidth="1"/>
    <col min="9" max="9" width="46" customWidth="1"/>
  </cols>
  <sheetData>
    <row r="1" spans="1:9" ht="33.75" customHeight="1" x14ac:dyDescent="0.3">
      <c r="A1" s="31" t="s">
        <v>81</v>
      </c>
      <c r="B1" s="31"/>
      <c r="C1" s="31"/>
      <c r="D1" s="31"/>
      <c r="E1" s="31"/>
      <c r="F1" s="31"/>
      <c r="G1" s="31"/>
      <c r="H1" s="31"/>
      <c r="I1" s="31"/>
    </row>
    <row r="2" spans="1:9" ht="15" customHeight="1" x14ac:dyDescent="0.3">
      <c r="A2" s="32" t="s">
        <v>82</v>
      </c>
      <c r="B2" s="32"/>
      <c r="C2" s="32"/>
      <c r="D2" s="32"/>
      <c r="E2" s="32"/>
      <c r="F2" s="32"/>
      <c r="G2" s="32"/>
      <c r="H2" s="32"/>
      <c r="I2" s="32"/>
    </row>
    <row r="4" spans="1:9" ht="15" customHeight="1" x14ac:dyDescent="0.3">
      <c r="A4" s="33" t="s">
        <v>83</v>
      </c>
      <c r="B4" s="33"/>
      <c r="C4" s="33"/>
      <c r="E4" s="33" t="s">
        <v>84</v>
      </c>
      <c r="F4" s="33"/>
      <c r="G4" s="33"/>
    </row>
    <row r="5" spans="1:9" ht="15" customHeight="1" x14ac:dyDescent="0.3">
      <c r="A5" s="2" t="s">
        <v>85</v>
      </c>
      <c r="B5" s="28" t="s">
        <v>86</v>
      </c>
      <c r="C5" s="28"/>
      <c r="E5" s="10" t="s">
        <v>87</v>
      </c>
      <c r="F5" s="24">
        <f>COUNTA(A19:A114)</f>
        <v>16</v>
      </c>
      <c r="G5" s="24"/>
    </row>
    <row r="6" spans="1:9" ht="15" customHeight="1" x14ac:dyDescent="0.3">
      <c r="A6" s="2" t="s">
        <v>88</v>
      </c>
      <c r="B6" s="28" t="s">
        <v>89</v>
      </c>
      <c r="C6" s="28"/>
      <c r="E6" s="10" t="s">
        <v>90</v>
      </c>
      <c r="F6" s="24">
        <f>COUNTIF(F19:F114,"OK")+COUNTIF(F19:F114,"NOK")</f>
        <v>16</v>
      </c>
      <c r="G6" s="24"/>
    </row>
    <row r="7" spans="1:9" ht="15" customHeight="1" x14ac:dyDescent="0.3">
      <c r="A7" s="2" t="s">
        <v>91</v>
      </c>
      <c r="B7" s="28" t="s">
        <v>92</v>
      </c>
      <c r="C7" s="28"/>
      <c r="E7" s="10" t="s">
        <v>93</v>
      </c>
      <c r="F7" s="24">
        <f>COUNTIF(F19:F114,"OK")</f>
        <v>16</v>
      </c>
      <c r="G7" s="24"/>
    </row>
    <row r="8" spans="1:9" ht="15" customHeight="1" x14ac:dyDescent="0.3">
      <c r="A8" s="2" t="s">
        <v>94</v>
      </c>
      <c r="B8" s="28"/>
      <c r="C8" s="28"/>
      <c r="E8" s="10" t="s">
        <v>95</v>
      </c>
      <c r="F8" s="24">
        <f>COUNTIF(F19:F114,"NOK")</f>
        <v>0</v>
      </c>
      <c r="G8" s="24"/>
    </row>
    <row r="9" spans="1:9" ht="15" customHeight="1" x14ac:dyDescent="0.3">
      <c r="A9" s="2" t="s">
        <v>96</v>
      </c>
      <c r="B9" s="28"/>
      <c r="C9" s="28"/>
      <c r="E9" s="10" t="s">
        <v>97</v>
      </c>
      <c r="F9" s="29">
        <f>IF(F6=0,0,F7/F6)</f>
        <v>1</v>
      </c>
      <c r="G9" s="29"/>
    </row>
    <row r="10" spans="1:9" ht="15" customHeight="1" x14ac:dyDescent="0.3">
      <c r="A10" s="2" t="s">
        <v>98</v>
      </c>
      <c r="B10" s="28" t="s">
        <v>99</v>
      </c>
      <c r="C10" s="28"/>
      <c r="E10" s="10" t="s">
        <v>100</v>
      </c>
      <c r="F10" s="29">
        <f>IF(F6=0,0,F8/F6)</f>
        <v>0</v>
      </c>
      <c r="G10" s="29"/>
    </row>
    <row r="11" spans="1:9" ht="15" customHeight="1" x14ac:dyDescent="0.3">
      <c r="A11" s="30" t="s">
        <v>101</v>
      </c>
      <c r="B11" s="30"/>
      <c r="C11" s="30"/>
      <c r="E11" s="10" t="s">
        <v>102</v>
      </c>
      <c r="F11" s="24">
        <f>F5-F6</f>
        <v>0</v>
      </c>
      <c r="G11" s="24"/>
    </row>
    <row r="12" spans="1:9" ht="15" customHeight="1" x14ac:dyDescent="0.3">
      <c r="A12" s="2" t="s">
        <v>103</v>
      </c>
      <c r="B12" s="23">
        <f>COUNTIF(A19:A114,"*_CA1_*")</f>
        <v>4</v>
      </c>
      <c r="C12" s="23"/>
      <c r="E12" s="10" t="s">
        <v>104</v>
      </c>
      <c r="F12" s="24">
        <f>COUNTIF(D19:D114,"Positivo*")</f>
        <v>4</v>
      </c>
      <c r="G12" s="24"/>
    </row>
    <row r="13" spans="1:9" ht="23.25" customHeight="1" x14ac:dyDescent="0.3">
      <c r="A13" s="2" t="s">
        <v>105</v>
      </c>
      <c r="B13" s="23">
        <f>COUNTIF(A19:A114,"*_CA2_*")</f>
        <v>9</v>
      </c>
      <c r="C13" s="23"/>
      <c r="E13" s="10" t="s">
        <v>106</v>
      </c>
      <c r="F13" s="24">
        <f>COUNTIF(D19:D114,"Negativo*")</f>
        <v>12</v>
      </c>
      <c r="G13" s="24"/>
    </row>
    <row r="14" spans="1:9" ht="15" customHeight="1" x14ac:dyDescent="0.3">
      <c r="A14" s="2" t="s">
        <v>107</v>
      </c>
      <c r="B14" s="23">
        <f>COUNTIF(A19:A114,"*_CA3_*")</f>
        <v>3</v>
      </c>
      <c r="C14" s="23"/>
      <c r="E14" s="10" t="s">
        <v>108</v>
      </c>
      <c r="F14" s="24">
        <f>COUNTIF(H19:H114,"Baja")</f>
        <v>0</v>
      </c>
      <c r="G14" s="24"/>
    </row>
    <row r="15" spans="1:9" ht="15" customHeight="1" x14ac:dyDescent="0.3">
      <c r="A15" s="11" t="s">
        <v>109</v>
      </c>
      <c r="B15" s="25">
        <f>COUNTIF(A19:A114,"*_CA4_*")</f>
        <v>0</v>
      </c>
      <c r="C15" s="25"/>
      <c r="E15" s="10" t="s">
        <v>110</v>
      </c>
      <c r="F15" s="24">
        <f>COUNTIF(H19:H114,"Media")</f>
        <v>0</v>
      </c>
      <c r="G15" s="24"/>
    </row>
    <row r="16" spans="1:9" ht="15" customHeight="1" x14ac:dyDescent="0.3">
      <c r="A16" s="12" t="s">
        <v>111</v>
      </c>
      <c r="B16" s="26">
        <f>SUM(B12:B15)</f>
        <v>16</v>
      </c>
      <c r="C16" s="26"/>
      <c r="E16" s="10" t="s">
        <v>112</v>
      </c>
      <c r="F16" s="24">
        <f>COUNTIF(H19:H114,"Alta")</f>
        <v>0</v>
      </c>
      <c r="G16" s="24"/>
    </row>
    <row r="17" spans="1:9" ht="15" customHeight="1" x14ac:dyDescent="0.3">
      <c r="A17" s="27" t="s">
        <v>113</v>
      </c>
      <c r="B17" s="27"/>
      <c r="C17" s="27"/>
      <c r="D17" s="27"/>
      <c r="E17" s="27"/>
      <c r="F17" s="27"/>
      <c r="G17" s="27"/>
      <c r="H17" s="27"/>
      <c r="I17" s="27"/>
    </row>
    <row r="18" spans="1:9" ht="33.75" customHeight="1" x14ac:dyDescent="0.3">
      <c r="A18" s="4" t="s">
        <v>16</v>
      </c>
      <c r="B18" s="4" t="s">
        <v>114</v>
      </c>
      <c r="C18" s="4" t="s">
        <v>115</v>
      </c>
      <c r="D18" s="4" t="s">
        <v>20</v>
      </c>
      <c r="E18" s="4" t="s">
        <v>22</v>
      </c>
      <c r="F18" s="4" t="s">
        <v>116</v>
      </c>
      <c r="G18" s="4" t="s">
        <v>117</v>
      </c>
      <c r="H18" s="4" t="s">
        <v>118</v>
      </c>
      <c r="I18" s="4" t="s">
        <v>24</v>
      </c>
    </row>
    <row r="19" spans="1:9" ht="18.75" customHeight="1" x14ac:dyDescent="0.3">
      <c r="A19" s="15" t="s">
        <v>119</v>
      </c>
      <c r="B19" s="13" t="s">
        <v>120</v>
      </c>
      <c r="C19" s="13" t="s">
        <v>121</v>
      </c>
      <c r="D19" s="16" t="s">
        <v>122</v>
      </c>
      <c r="E19" s="17" t="s">
        <v>123</v>
      </c>
      <c r="F19" s="18" t="s">
        <v>57</v>
      </c>
      <c r="G19" s="35" t="s">
        <v>475</v>
      </c>
      <c r="H19" s="18"/>
      <c r="I19" s="17" t="s">
        <v>124</v>
      </c>
    </row>
    <row r="20" spans="1:9" ht="18.75" customHeight="1" x14ac:dyDescent="0.3">
      <c r="A20" s="15"/>
      <c r="B20" s="13" t="s">
        <v>125</v>
      </c>
      <c r="C20" s="13" t="s">
        <v>126</v>
      </c>
      <c r="D20" s="16"/>
      <c r="E20" s="17"/>
      <c r="F20" s="18"/>
      <c r="G20" s="19"/>
      <c r="H20" s="18"/>
      <c r="I20" s="17"/>
    </row>
    <row r="21" spans="1:9" ht="18.75" customHeight="1" x14ac:dyDescent="0.3">
      <c r="A21" s="15"/>
      <c r="B21" s="13" t="s">
        <v>127</v>
      </c>
      <c r="C21" s="13" t="s">
        <v>128</v>
      </c>
      <c r="D21" s="16"/>
      <c r="E21" s="17"/>
      <c r="F21" s="18"/>
      <c r="G21" s="19"/>
      <c r="H21" s="18"/>
      <c r="I21" s="17"/>
    </row>
    <row r="22" spans="1:9" ht="18.75" customHeight="1" x14ac:dyDescent="0.3">
      <c r="A22" s="15"/>
      <c r="B22" s="13" t="s">
        <v>129</v>
      </c>
      <c r="C22" s="13" t="s">
        <v>130</v>
      </c>
      <c r="D22" s="16"/>
      <c r="E22" s="17"/>
      <c r="F22" s="18"/>
      <c r="G22" s="19"/>
      <c r="H22" s="18"/>
      <c r="I22" s="17"/>
    </row>
    <row r="23" spans="1:9" ht="18.75" customHeight="1" x14ac:dyDescent="0.3">
      <c r="A23" s="15"/>
      <c r="B23" s="13" t="s">
        <v>131</v>
      </c>
      <c r="C23" s="13" t="s">
        <v>132</v>
      </c>
      <c r="D23" s="16"/>
      <c r="E23" s="17"/>
      <c r="F23" s="18"/>
      <c r="G23" s="19"/>
      <c r="H23" s="18"/>
      <c r="I23" s="17"/>
    </row>
    <row r="24" spans="1:9" ht="18.75" customHeight="1" x14ac:dyDescent="0.3">
      <c r="A24" s="15"/>
      <c r="B24" s="13" t="s">
        <v>133</v>
      </c>
      <c r="C24" s="13" t="s">
        <v>134</v>
      </c>
      <c r="D24" s="16"/>
      <c r="E24" s="17"/>
      <c r="F24" s="18"/>
      <c r="G24" s="19"/>
      <c r="H24" s="18"/>
      <c r="I24" s="17"/>
    </row>
    <row r="25" spans="1:9" ht="18.75" customHeight="1" x14ac:dyDescent="0.3">
      <c r="A25" s="20" t="s">
        <v>135</v>
      </c>
      <c r="B25" s="14" t="s">
        <v>120</v>
      </c>
      <c r="C25" s="14" t="s">
        <v>136</v>
      </c>
      <c r="D25" s="21" t="s">
        <v>122</v>
      </c>
      <c r="E25" s="22" t="s">
        <v>123</v>
      </c>
      <c r="F25" s="18" t="s">
        <v>57</v>
      </c>
      <c r="G25" s="35" t="s">
        <v>475</v>
      </c>
      <c r="H25" s="18"/>
      <c r="I25" s="22" t="s">
        <v>137</v>
      </c>
    </row>
    <row r="26" spans="1:9" ht="18.75" customHeight="1" x14ac:dyDescent="0.3">
      <c r="A26" s="20"/>
      <c r="B26" s="14" t="s">
        <v>125</v>
      </c>
      <c r="C26" s="14" t="s">
        <v>138</v>
      </c>
      <c r="D26" s="21"/>
      <c r="E26" s="22"/>
      <c r="F26" s="18"/>
      <c r="G26" s="19"/>
      <c r="H26" s="18"/>
      <c r="I26" s="22"/>
    </row>
    <row r="27" spans="1:9" ht="18.75" customHeight="1" x14ac:dyDescent="0.3">
      <c r="A27" s="20"/>
      <c r="B27" s="14" t="s">
        <v>127</v>
      </c>
      <c r="C27" s="14" t="s">
        <v>139</v>
      </c>
      <c r="D27" s="21"/>
      <c r="E27" s="22"/>
      <c r="F27" s="18"/>
      <c r="G27" s="19"/>
      <c r="H27" s="18"/>
      <c r="I27" s="22"/>
    </row>
    <row r="28" spans="1:9" ht="18.75" customHeight="1" x14ac:dyDescent="0.3">
      <c r="A28" s="20"/>
      <c r="B28" s="14" t="s">
        <v>129</v>
      </c>
      <c r="C28" s="14" t="s">
        <v>140</v>
      </c>
      <c r="D28" s="21"/>
      <c r="E28" s="22"/>
      <c r="F28" s="18"/>
      <c r="G28" s="19"/>
      <c r="H28" s="18"/>
      <c r="I28" s="22"/>
    </row>
    <row r="29" spans="1:9" ht="18.75" customHeight="1" x14ac:dyDescent="0.3">
      <c r="A29" s="20"/>
      <c r="B29" s="14" t="s">
        <v>131</v>
      </c>
      <c r="C29" s="14" t="s">
        <v>141</v>
      </c>
      <c r="D29" s="21"/>
      <c r="E29" s="22"/>
      <c r="F29" s="18"/>
      <c r="G29" s="19"/>
      <c r="H29" s="18"/>
      <c r="I29" s="22"/>
    </row>
    <row r="30" spans="1:9" ht="18.75" customHeight="1" x14ac:dyDescent="0.3">
      <c r="A30" s="20"/>
      <c r="B30" s="14" t="s">
        <v>133</v>
      </c>
      <c r="C30" s="14" t="s">
        <v>142</v>
      </c>
      <c r="D30" s="21"/>
      <c r="E30" s="22"/>
      <c r="F30" s="18"/>
      <c r="G30" s="19"/>
      <c r="H30" s="18"/>
      <c r="I30" s="22"/>
    </row>
    <row r="31" spans="1:9" ht="18.75" customHeight="1" x14ac:dyDescent="0.3">
      <c r="A31" s="15" t="s">
        <v>143</v>
      </c>
      <c r="B31" s="13" t="s">
        <v>120</v>
      </c>
      <c r="C31" s="13" t="s">
        <v>144</v>
      </c>
      <c r="D31" s="16" t="s">
        <v>122</v>
      </c>
      <c r="E31" s="17" t="s">
        <v>123</v>
      </c>
      <c r="F31" s="18" t="s">
        <v>57</v>
      </c>
      <c r="G31" s="35" t="s">
        <v>475</v>
      </c>
      <c r="H31" s="18"/>
      <c r="I31" s="17" t="s">
        <v>145</v>
      </c>
    </row>
    <row r="32" spans="1:9" ht="18.75" customHeight="1" x14ac:dyDescent="0.3">
      <c r="A32" s="15"/>
      <c r="B32" s="13" t="s">
        <v>125</v>
      </c>
      <c r="C32" s="13" t="s">
        <v>146</v>
      </c>
      <c r="D32" s="16"/>
      <c r="E32" s="17"/>
      <c r="F32" s="18"/>
      <c r="G32" s="19"/>
      <c r="H32" s="18"/>
      <c r="I32" s="17"/>
    </row>
    <row r="33" spans="1:9" ht="18.75" customHeight="1" x14ac:dyDescent="0.3">
      <c r="A33" s="15"/>
      <c r="B33" s="13" t="s">
        <v>127</v>
      </c>
      <c r="C33" s="13" t="s">
        <v>147</v>
      </c>
      <c r="D33" s="16"/>
      <c r="E33" s="17"/>
      <c r="F33" s="18"/>
      <c r="G33" s="19"/>
      <c r="H33" s="18"/>
      <c r="I33" s="17"/>
    </row>
    <row r="34" spans="1:9" ht="18.75" customHeight="1" x14ac:dyDescent="0.3">
      <c r="A34" s="15"/>
      <c r="B34" s="13" t="s">
        <v>129</v>
      </c>
      <c r="C34" s="13" t="s">
        <v>148</v>
      </c>
      <c r="D34" s="16"/>
      <c r="E34" s="17"/>
      <c r="F34" s="18"/>
      <c r="G34" s="19"/>
      <c r="H34" s="18"/>
      <c r="I34" s="17"/>
    </row>
    <row r="35" spans="1:9" ht="18.75" customHeight="1" x14ac:dyDescent="0.3">
      <c r="A35" s="15"/>
      <c r="B35" s="13" t="s">
        <v>131</v>
      </c>
      <c r="C35" s="13" t="s">
        <v>149</v>
      </c>
      <c r="D35" s="16"/>
      <c r="E35" s="17"/>
      <c r="F35" s="18"/>
      <c r="G35" s="19"/>
      <c r="H35" s="18"/>
      <c r="I35" s="17"/>
    </row>
    <row r="36" spans="1:9" ht="18.75" customHeight="1" x14ac:dyDescent="0.3">
      <c r="A36" s="15"/>
      <c r="B36" s="13" t="s">
        <v>133</v>
      </c>
      <c r="C36" s="13" t="s">
        <v>150</v>
      </c>
      <c r="D36" s="16"/>
      <c r="E36" s="17"/>
      <c r="F36" s="18"/>
      <c r="G36" s="19"/>
      <c r="H36" s="18"/>
      <c r="I36" s="17"/>
    </row>
    <row r="37" spans="1:9" ht="18.75" customHeight="1" x14ac:dyDescent="0.3">
      <c r="A37" s="20" t="s">
        <v>151</v>
      </c>
      <c r="B37" s="14" t="s">
        <v>120</v>
      </c>
      <c r="C37" s="14" t="s">
        <v>152</v>
      </c>
      <c r="D37" s="21" t="s">
        <v>122</v>
      </c>
      <c r="E37" s="22" t="s">
        <v>123</v>
      </c>
      <c r="F37" s="18" t="s">
        <v>57</v>
      </c>
      <c r="G37" s="35" t="s">
        <v>475</v>
      </c>
      <c r="H37" s="18"/>
      <c r="I37" s="22" t="s">
        <v>153</v>
      </c>
    </row>
    <row r="38" spans="1:9" ht="18.75" customHeight="1" x14ac:dyDescent="0.3">
      <c r="A38" s="20"/>
      <c r="B38" s="14" t="s">
        <v>125</v>
      </c>
      <c r="C38" s="14" t="s">
        <v>154</v>
      </c>
      <c r="D38" s="21"/>
      <c r="E38" s="22"/>
      <c r="F38" s="18"/>
      <c r="G38" s="19"/>
      <c r="H38" s="18"/>
      <c r="I38" s="22"/>
    </row>
    <row r="39" spans="1:9" ht="18.75" customHeight="1" x14ac:dyDescent="0.3">
      <c r="A39" s="20"/>
      <c r="B39" s="14" t="s">
        <v>127</v>
      </c>
      <c r="C39" s="14" t="s">
        <v>155</v>
      </c>
      <c r="D39" s="21"/>
      <c r="E39" s="22"/>
      <c r="F39" s="18"/>
      <c r="G39" s="19"/>
      <c r="H39" s="18"/>
      <c r="I39" s="22"/>
    </row>
    <row r="40" spans="1:9" ht="18.75" customHeight="1" x14ac:dyDescent="0.3">
      <c r="A40" s="20"/>
      <c r="B40" s="14" t="s">
        <v>129</v>
      </c>
      <c r="C40" s="14" t="s">
        <v>156</v>
      </c>
      <c r="D40" s="21"/>
      <c r="E40" s="22"/>
      <c r="F40" s="18"/>
      <c r="G40" s="19"/>
      <c r="H40" s="18"/>
      <c r="I40" s="22"/>
    </row>
    <row r="41" spans="1:9" ht="18.75" customHeight="1" x14ac:dyDescent="0.3">
      <c r="A41" s="20"/>
      <c r="B41" s="14" t="s">
        <v>131</v>
      </c>
      <c r="C41" s="14" t="s">
        <v>132</v>
      </c>
      <c r="D41" s="21"/>
      <c r="E41" s="22"/>
      <c r="F41" s="18"/>
      <c r="G41" s="19"/>
      <c r="H41" s="18"/>
      <c r="I41" s="22"/>
    </row>
    <row r="42" spans="1:9" ht="18.75" customHeight="1" x14ac:dyDescent="0.3">
      <c r="A42" s="20"/>
      <c r="B42" s="14" t="s">
        <v>133</v>
      </c>
      <c r="C42" s="14" t="s">
        <v>157</v>
      </c>
      <c r="D42" s="21"/>
      <c r="E42" s="22"/>
      <c r="F42" s="18"/>
      <c r="G42" s="19"/>
      <c r="H42" s="18"/>
      <c r="I42" s="22"/>
    </row>
    <row r="43" spans="1:9" ht="18.75" customHeight="1" x14ac:dyDescent="0.3">
      <c r="A43" s="15" t="s">
        <v>158</v>
      </c>
      <c r="B43" s="13" t="s">
        <v>120</v>
      </c>
      <c r="C43" s="13" t="s">
        <v>159</v>
      </c>
      <c r="D43" s="16" t="s">
        <v>160</v>
      </c>
      <c r="E43" s="17" t="s">
        <v>161</v>
      </c>
      <c r="F43" s="18" t="s">
        <v>57</v>
      </c>
      <c r="G43" s="35" t="s">
        <v>475</v>
      </c>
      <c r="H43" s="18"/>
      <c r="I43" s="17" t="s">
        <v>162</v>
      </c>
    </row>
    <row r="44" spans="1:9" ht="18.75" customHeight="1" x14ac:dyDescent="0.3">
      <c r="A44" s="15"/>
      <c r="B44" s="13" t="s">
        <v>125</v>
      </c>
      <c r="C44" s="13" t="s">
        <v>163</v>
      </c>
      <c r="D44" s="16"/>
      <c r="E44" s="17"/>
      <c r="F44" s="18"/>
      <c r="G44" s="19"/>
      <c r="H44" s="18"/>
      <c r="I44" s="17"/>
    </row>
    <row r="45" spans="1:9" ht="18.75" customHeight="1" x14ac:dyDescent="0.3">
      <c r="A45" s="15"/>
      <c r="B45" s="13" t="s">
        <v>127</v>
      </c>
      <c r="C45" s="13" t="s">
        <v>128</v>
      </c>
      <c r="D45" s="16"/>
      <c r="E45" s="17"/>
      <c r="F45" s="18"/>
      <c r="G45" s="19"/>
      <c r="H45" s="18"/>
      <c r="I45" s="17"/>
    </row>
    <row r="46" spans="1:9" ht="18.75" customHeight="1" x14ac:dyDescent="0.3">
      <c r="A46" s="15"/>
      <c r="B46" s="13" t="s">
        <v>129</v>
      </c>
      <c r="C46" s="13" t="s">
        <v>164</v>
      </c>
      <c r="D46" s="16"/>
      <c r="E46" s="17"/>
      <c r="F46" s="18"/>
      <c r="G46" s="19"/>
      <c r="H46" s="18"/>
      <c r="I46" s="17"/>
    </row>
    <row r="47" spans="1:9" ht="18.75" customHeight="1" x14ac:dyDescent="0.3">
      <c r="A47" s="15"/>
      <c r="B47" s="13" t="s">
        <v>131</v>
      </c>
      <c r="C47" s="13" t="s">
        <v>132</v>
      </c>
      <c r="D47" s="16"/>
      <c r="E47" s="17"/>
      <c r="F47" s="18"/>
      <c r="G47" s="19"/>
      <c r="H47" s="18"/>
      <c r="I47" s="17"/>
    </row>
    <row r="48" spans="1:9" ht="18.75" customHeight="1" x14ac:dyDescent="0.3">
      <c r="A48" s="15"/>
      <c r="B48" s="13" t="s">
        <v>133</v>
      </c>
      <c r="C48" s="13" t="s">
        <v>134</v>
      </c>
      <c r="D48" s="16"/>
      <c r="E48" s="17"/>
      <c r="F48" s="18"/>
      <c r="G48" s="19"/>
      <c r="H48" s="18"/>
      <c r="I48" s="17"/>
    </row>
    <row r="49" spans="1:9" ht="18.75" customHeight="1" x14ac:dyDescent="0.3">
      <c r="A49" s="20" t="s">
        <v>165</v>
      </c>
      <c r="B49" s="14" t="s">
        <v>120</v>
      </c>
      <c r="C49" s="14" t="s">
        <v>121</v>
      </c>
      <c r="D49" s="21" t="s">
        <v>160</v>
      </c>
      <c r="E49" s="22" t="s">
        <v>166</v>
      </c>
      <c r="F49" s="18" t="s">
        <v>57</v>
      </c>
      <c r="G49" s="35" t="s">
        <v>475</v>
      </c>
      <c r="H49" s="18"/>
      <c r="I49" s="22" t="s">
        <v>162</v>
      </c>
    </row>
    <row r="50" spans="1:9" ht="18.75" customHeight="1" x14ac:dyDescent="0.3">
      <c r="A50" s="20"/>
      <c r="B50" s="14" t="s">
        <v>125</v>
      </c>
      <c r="C50" s="14" t="s">
        <v>159</v>
      </c>
      <c r="D50" s="21"/>
      <c r="E50" s="22"/>
      <c r="F50" s="18"/>
      <c r="G50" s="19"/>
      <c r="H50" s="18"/>
      <c r="I50" s="22"/>
    </row>
    <row r="51" spans="1:9" ht="18.75" customHeight="1" x14ac:dyDescent="0.3">
      <c r="A51" s="20"/>
      <c r="B51" s="14" t="s">
        <v>127</v>
      </c>
      <c r="C51" s="14" t="s">
        <v>128</v>
      </c>
      <c r="D51" s="21"/>
      <c r="E51" s="22"/>
      <c r="F51" s="18"/>
      <c r="G51" s="19"/>
      <c r="H51" s="18"/>
      <c r="I51" s="22"/>
    </row>
    <row r="52" spans="1:9" ht="18.75" customHeight="1" x14ac:dyDescent="0.3">
      <c r="A52" s="20"/>
      <c r="B52" s="14" t="s">
        <v>129</v>
      </c>
      <c r="C52" s="14" t="s">
        <v>164</v>
      </c>
      <c r="D52" s="21"/>
      <c r="E52" s="22"/>
      <c r="F52" s="18"/>
      <c r="G52" s="19"/>
      <c r="H52" s="18"/>
      <c r="I52" s="22"/>
    </row>
    <row r="53" spans="1:9" ht="18.75" customHeight="1" x14ac:dyDescent="0.3">
      <c r="A53" s="20"/>
      <c r="B53" s="14" t="s">
        <v>131</v>
      </c>
      <c r="C53" s="14" t="s">
        <v>132</v>
      </c>
      <c r="D53" s="21"/>
      <c r="E53" s="22"/>
      <c r="F53" s="18"/>
      <c r="G53" s="19"/>
      <c r="H53" s="18"/>
      <c r="I53" s="22"/>
    </row>
    <row r="54" spans="1:9" ht="18.75" customHeight="1" x14ac:dyDescent="0.3">
      <c r="A54" s="20"/>
      <c r="B54" s="14" t="s">
        <v>133</v>
      </c>
      <c r="C54" s="14" t="s">
        <v>134</v>
      </c>
      <c r="D54" s="21"/>
      <c r="E54" s="22"/>
      <c r="F54" s="18"/>
      <c r="G54" s="19"/>
      <c r="H54" s="18"/>
      <c r="I54" s="22"/>
    </row>
    <row r="55" spans="1:9" ht="18.75" customHeight="1" x14ac:dyDescent="0.3">
      <c r="A55" s="15" t="s">
        <v>167</v>
      </c>
      <c r="B55" s="13" t="s">
        <v>120</v>
      </c>
      <c r="C55" s="13" t="s">
        <v>121</v>
      </c>
      <c r="D55" s="16" t="s">
        <v>160</v>
      </c>
      <c r="E55" s="17" t="s">
        <v>168</v>
      </c>
      <c r="F55" s="18" t="s">
        <v>57</v>
      </c>
      <c r="G55" s="35" t="s">
        <v>475</v>
      </c>
      <c r="H55" s="18"/>
      <c r="I55" s="17" t="s">
        <v>162</v>
      </c>
    </row>
    <row r="56" spans="1:9" ht="18.75" customHeight="1" x14ac:dyDescent="0.3">
      <c r="A56" s="15"/>
      <c r="B56" s="13" t="s">
        <v>125</v>
      </c>
      <c r="C56" s="13" t="s">
        <v>163</v>
      </c>
      <c r="D56" s="16"/>
      <c r="E56" s="17"/>
      <c r="F56" s="18"/>
      <c r="G56" s="19"/>
      <c r="H56" s="18"/>
      <c r="I56" s="17"/>
    </row>
    <row r="57" spans="1:9" ht="18.75" customHeight="1" x14ac:dyDescent="0.3">
      <c r="A57" s="15"/>
      <c r="B57" s="13" t="s">
        <v>127</v>
      </c>
      <c r="C57" s="13" t="s">
        <v>159</v>
      </c>
      <c r="D57" s="16"/>
      <c r="E57" s="17"/>
      <c r="F57" s="18"/>
      <c r="G57" s="19"/>
      <c r="H57" s="18"/>
      <c r="I57" s="17"/>
    </row>
    <row r="58" spans="1:9" ht="18.75" customHeight="1" x14ac:dyDescent="0.3">
      <c r="A58" s="15"/>
      <c r="B58" s="13" t="s">
        <v>129</v>
      </c>
      <c r="C58" s="13" t="s">
        <v>164</v>
      </c>
      <c r="D58" s="16"/>
      <c r="E58" s="17"/>
      <c r="F58" s="18"/>
      <c r="G58" s="19"/>
      <c r="H58" s="18"/>
      <c r="I58" s="17"/>
    </row>
    <row r="59" spans="1:9" ht="18.75" customHeight="1" x14ac:dyDescent="0.3">
      <c r="A59" s="15"/>
      <c r="B59" s="13" t="s">
        <v>131</v>
      </c>
      <c r="C59" s="13" t="s">
        <v>132</v>
      </c>
      <c r="D59" s="16"/>
      <c r="E59" s="17"/>
      <c r="F59" s="18"/>
      <c r="G59" s="19"/>
      <c r="H59" s="18"/>
      <c r="I59" s="17"/>
    </row>
    <row r="60" spans="1:9" ht="18.75" customHeight="1" x14ac:dyDescent="0.3">
      <c r="A60" s="15"/>
      <c r="B60" s="13" t="s">
        <v>133</v>
      </c>
      <c r="C60" s="13" t="s">
        <v>134</v>
      </c>
      <c r="D60" s="16"/>
      <c r="E60" s="17"/>
      <c r="F60" s="18"/>
      <c r="G60" s="19"/>
      <c r="H60" s="18"/>
      <c r="I60" s="17"/>
    </row>
    <row r="61" spans="1:9" ht="18.75" customHeight="1" x14ac:dyDescent="0.3">
      <c r="A61" s="20" t="s">
        <v>169</v>
      </c>
      <c r="B61" s="14" t="s">
        <v>120</v>
      </c>
      <c r="C61" s="14" t="s">
        <v>121</v>
      </c>
      <c r="D61" s="21" t="s">
        <v>160</v>
      </c>
      <c r="E61" s="22" t="s">
        <v>170</v>
      </c>
      <c r="F61" s="18" t="s">
        <v>57</v>
      </c>
      <c r="G61" s="35" t="s">
        <v>475</v>
      </c>
      <c r="H61" s="18"/>
      <c r="I61" s="22" t="s">
        <v>162</v>
      </c>
    </row>
    <row r="62" spans="1:9" ht="18.75" customHeight="1" x14ac:dyDescent="0.3">
      <c r="A62" s="20"/>
      <c r="B62" s="14" t="s">
        <v>125</v>
      </c>
      <c r="C62" s="14" t="s">
        <v>163</v>
      </c>
      <c r="D62" s="21"/>
      <c r="E62" s="22"/>
      <c r="F62" s="18"/>
      <c r="G62" s="19"/>
      <c r="H62" s="18"/>
      <c r="I62" s="22"/>
    </row>
    <row r="63" spans="1:9" ht="18.75" customHeight="1" x14ac:dyDescent="0.3">
      <c r="A63" s="20"/>
      <c r="B63" s="14" t="s">
        <v>127</v>
      </c>
      <c r="C63" s="14" t="s">
        <v>128</v>
      </c>
      <c r="D63" s="21"/>
      <c r="E63" s="22"/>
      <c r="F63" s="18"/>
      <c r="G63" s="19"/>
      <c r="H63" s="18"/>
      <c r="I63" s="22"/>
    </row>
    <row r="64" spans="1:9" ht="18.75" customHeight="1" x14ac:dyDescent="0.3">
      <c r="A64" s="20"/>
      <c r="B64" s="14" t="s">
        <v>129</v>
      </c>
      <c r="C64" s="14" t="s">
        <v>159</v>
      </c>
      <c r="D64" s="21"/>
      <c r="E64" s="22"/>
      <c r="F64" s="18"/>
      <c r="G64" s="19"/>
      <c r="H64" s="18"/>
      <c r="I64" s="22"/>
    </row>
    <row r="65" spans="1:9" ht="18.75" customHeight="1" x14ac:dyDescent="0.3">
      <c r="A65" s="20"/>
      <c r="B65" s="14" t="s">
        <v>131</v>
      </c>
      <c r="C65" s="14" t="s">
        <v>132</v>
      </c>
      <c r="D65" s="21"/>
      <c r="E65" s="22"/>
      <c r="F65" s="18"/>
      <c r="G65" s="19"/>
      <c r="H65" s="18"/>
      <c r="I65" s="22"/>
    </row>
    <row r="66" spans="1:9" ht="18.75" customHeight="1" x14ac:dyDescent="0.3">
      <c r="A66" s="20"/>
      <c r="B66" s="14" t="s">
        <v>133</v>
      </c>
      <c r="C66" s="14" t="s">
        <v>134</v>
      </c>
      <c r="D66" s="21"/>
      <c r="E66" s="22"/>
      <c r="F66" s="18"/>
      <c r="G66" s="19"/>
      <c r="H66" s="18"/>
      <c r="I66" s="22"/>
    </row>
    <row r="67" spans="1:9" ht="18.75" customHeight="1" x14ac:dyDescent="0.3">
      <c r="A67" s="15" t="s">
        <v>171</v>
      </c>
      <c r="B67" s="13" t="s">
        <v>120</v>
      </c>
      <c r="C67" s="13" t="s">
        <v>121</v>
      </c>
      <c r="D67" s="16" t="s">
        <v>160</v>
      </c>
      <c r="E67" s="17" t="s">
        <v>172</v>
      </c>
      <c r="F67" s="18" t="s">
        <v>57</v>
      </c>
      <c r="G67" s="35" t="s">
        <v>475</v>
      </c>
      <c r="H67" s="18"/>
      <c r="I67" s="17" t="s">
        <v>162</v>
      </c>
    </row>
    <row r="68" spans="1:9" ht="18.75" customHeight="1" x14ac:dyDescent="0.3">
      <c r="A68" s="15"/>
      <c r="B68" s="13" t="s">
        <v>125</v>
      </c>
      <c r="C68" s="13" t="s">
        <v>163</v>
      </c>
      <c r="D68" s="16"/>
      <c r="E68" s="17"/>
      <c r="F68" s="18"/>
      <c r="G68" s="19"/>
      <c r="H68" s="18"/>
      <c r="I68" s="17"/>
    </row>
    <row r="69" spans="1:9" ht="18.75" customHeight="1" x14ac:dyDescent="0.3">
      <c r="A69" s="15"/>
      <c r="B69" s="13" t="s">
        <v>127</v>
      </c>
      <c r="C69" s="13" t="s">
        <v>128</v>
      </c>
      <c r="D69" s="16"/>
      <c r="E69" s="17"/>
      <c r="F69" s="18"/>
      <c r="G69" s="19"/>
      <c r="H69" s="18"/>
      <c r="I69" s="17"/>
    </row>
    <row r="70" spans="1:9" ht="18.75" customHeight="1" x14ac:dyDescent="0.3">
      <c r="A70" s="15"/>
      <c r="B70" s="13" t="s">
        <v>129</v>
      </c>
      <c r="C70" s="13" t="s">
        <v>164</v>
      </c>
      <c r="D70" s="16"/>
      <c r="E70" s="17"/>
      <c r="F70" s="18"/>
      <c r="G70" s="19"/>
      <c r="H70" s="18"/>
      <c r="I70" s="17"/>
    </row>
    <row r="71" spans="1:9" ht="18.75" customHeight="1" x14ac:dyDescent="0.3">
      <c r="A71" s="15"/>
      <c r="B71" s="13" t="s">
        <v>131</v>
      </c>
      <c r="C71" s="13" t="s">
        <v>132</v>
      </c>
      <c r="D71" s="16"/>
      <c r="E71" s="17"/>
      <c r="F71" s="18"/>
      <c r="G71" s="19"/>
      <c r="H71" s="18"/>
      <c r="I71" s="17"/>
    </row>
    <row r="72" spans="1:9" ht="18.75" customHeight="1" x14ac:dyDescent="0.3">
      <c r="A72" s="15"/>
      <c r="B72" s="13" t="s">
        <v>133</v>
      </c>
      <c r="C72" s="13" t="s">
        <v>159</v>
      </c>
      <c r="D72" s="16"/>
      <c r="E72" s="17"/>
      <c r="F72" s="18"/>
      <c r="G72" s="19"/>
      <c r="H72" s="18"/>
      <c r="I72" s="17"/>
    </row>
    <row r="73" spans="1:9" ht="18.75" customHeight="1" x14ac:dyDescent="0.3">
      <c r="A73" s="20" t="s">
        <v>173</v>
      </c>
      <c r="B73" s="14" t="s">
        <v>120</v>
      </c>
      <c r="C73" s="14" t="s">
        <v>159</v>
      </c>
      <c r="D73" s="21" t="s">
        <v>160</v>
      </c>
      <c r="E73" s="22" t="s">
        <v>174</v>
      </c>
      <c r="F73" s="18" t="s">
        <v>57</v>
      </c>
      <c r="G73" s="35" t="s">
        <v>475</v>
      </c>
      <c r="H73" s="18"/>
      <c r="I73" s="22" t="s">
        <v>175</v>
      </c>
    </row>
    <row r="74" spans="1:9" ht="18.75" customHeight="1" x14ac:dyDescent="0.3">
      <c r="A74" s="20"/>
      <c r="B74" s="14" t="s">
        <v>125</v>
      </c>
      <c r="C74" s="14" t="s">
        <v>159</v>
      </c>
      <c r="D74" s="21"/>
      <c r="E74" s="22"/>
      <c r="F74" s="18"/>
      <c r="G74" s="19"/>
      <c r="H74" s="18"/>
      <c r="I74" s="22"/>
    </row>
    <row r="75" spans="1:9" ht="18.75" customHeight="1" x14ac:dyDescent="0.3">
      <c r="A75" s="20"/>
      <c r="B75" s="14" t="s">
        <v>127</v>
      </c>
      <c r="C75" s="14" t="s">
        <v>159</v>
      </c>
      <c r="D75" s="21"/>
      <c r="E75" s="22"/>
      <c r="F75" s="18"/>
      <c r="G75" s="19"/>
      <c r="H75" s="18"/>
      <c r="I75" s="22"/>
    </row>
    <row r="76" spans="1:9" ht="18.75" customHeight="1" x14ac:dyDescent="0.3">
      <c r="A76" s="20"/>
      <c r="B76" s="14" t="s">
        <v>129</v>
      </c>
      <c r="C76" s="14" t="s">
        <v>159</v>
      </c>
      <c r="D76" s="21"/>
      <c r="E76" s="22"/>
      <c r="F76" s="18"/>
      <c r="G76" s="19"/>
      <c r="H76" s="18"/>
      <c r="I76" s="22"/>
    </row>
    <row r="77" spans="1:9" ht="18.75" customHeight="1" x14ac:dyDescent="0.3">
      <c r="A77" s="20"/>
      <c r="B77" s="14" t="s">
        <v>131</v>
      </c>
      <c r="C77" s="14" t="s">
        <v>132</v>
      </c>
      <c r="D77" s="21"/>
      <c r="E77" s="22"/>
      <c r="F77" s="18"/>
      <c r="G77" s="19"/>
      <c r="H77" s="18"/>
      <c r="I77" s="22"/>
    </row>
    <row r="78" spans="1:9" ht="18.75" customHeight="1" x14ac:dyDescent="0.3">
      <c r="A78" s="20"/>
      <c r="B78" s="14" t="s">
        <v>133</v>
      </c>
      <c r="C78" s="14" t="s">
        <v>159</v>
      </c>
      <c r="D78" s="21"/>
      <c r="E78" s="22"/>
      <c r="F78" s="18"/>
      <c r="G78" s="19"/>
      <c r="H78" s="18"/>
      <c r="I78" s="22"/>
    </row>
    <row r="79" spans="1:9" ht="18.75" customHeight="1" x14ac:dyDescent="0.3">
      <c r="A79" s="15" t="s">
        <v>176</v>
      </c>
      <c r="B79" s="13" t="s">
        <v>120</v>
      </c>
      <c r="C79" s="13" t="s">
        <v>121</v>
      </c>
      <c r="D79" s="16" t="s">
        <v>160</v>
      </c>
      <c r="E79" s="17" t="s">
        <v>177</v>
      </c>
      <c r="F79" s="18" t="s">
        <v>57</v>
      </c>
      <c r="G79" s="35" t="s">
        <v>475</v>
      </c>
      <c r="H79" s="18"/>
      <c r="I79" s="17" t="s">
        <v>178</v>
      </c>
    </row>
    <row r="80" spans="1:9" ht="18.75" customHeight="1" x14ac:dyDescent="0.3">
      <c r="A80" s="15"/>
      <c r="B80" s="13" t="s">
        <v>125</v>
      </c>
      <c r="C80" s="13" t="s">
        <v>163</v>
      </c>
      <c r="D80" s="16"/>
      <c r="E80" s="17"/>
      <c r="F80" s="18"/>
      <c r="G80" s="19"/>
      <c r="H80" s="18"/>
      <c r="I80" s="17"/>
    </row>
    <row r="81" spans="1:9" ht="18.75" customHeight="1" x14ac:dyDescent="0.3">
      <c r="A81" s="15"/>
      <c r="B81" s="13" t="s">
        <v>127</v>
      </c>
      <c r="C81" s="13" t="s">
        <v>128</v>
      </c>
      <c r="D81" s="16"/>
      <c r="E81" s="17"/>
      <c r="F81" s="18"/>
      <c r="G81" s="19"/>
      <c r="H81" s="18"/>
      <c r="I81" s="17"/>
    </row>
    <row r="82" spans="1:9" ht="18.75" customHeight="1" x14ac:dyDescent="0.3">
      <c r="A82" s="15"/>
      <c r="B82" s="13" t="s">
        <v>129</v>
      </c>
      <c r="C82" s="13" t="s">
        <v>179</v>
      </c>
      <c r="D82" s="16"/>
      <c r="E82" s="17"/>
      <c r="F82" s="18"/>
      <c r="G82" s="19"/>
      <c r="H82" s="18"/>
      <c r="I82" s="17"/>
    </row>
    <row r="83" spans="1:9" ht="18.75" customHeight="1" x14ac:dyDescent="0.3">
      <c r="A83" s="15"/>
      <c r="B83" s="13" t="s">
        <v>131</v>
      </c>
      <c r="C83" s="13" t="s">
        <v>132</v>
      </c>
      <c r="D83" s="16"/>
      <c r="E83" s="17"/>
      <c r="F83" s="18"/>
      <c r="G83" s="19"/>
      <c r="H83" s="18"/>
      <c r="I83" s="17"/>
    </row>
    <row r="84" spans="1:9" ht="18.75" customHeight="1" x14ac:dyDescent="0.3">
      <c r="A84" s="15"/>
      <c r="B84" s="13" t="s">
        <v>133</v>
      </c>
      <c r="C84" s="13" t="s">
        <v>134</v>
      </c>
      <c r="D84" s="16"/>
      <c r="E84" s="17"/>
      <c r="F84" s="18"/>
      <c r="G84" s="19"/>
      <c r="H84" s="18"/>
      <c r="I84" s="17"/>
    </row>
    <row r="85" spans="1:9" ht="18.75" customHeight="1" x14ac:dyDescent="0.3">
      <c r="A85" s="20" t="s">
        <v>180</v>
      </c>
      <c r="B85" s="14" t="s">
        <v>120</v>
      </c>
      <c r="C85" s="14" t="s">
        <v>121</v>
      </c>
      <c r="D85" s="21" t="s">
        <v>160</v>
      </c>
      <c r="E85" s="22" t="s">
        <v>181</v>
      </c>
      <c r="F85" s="18" t="s">
        <v>57</v>
      </c>
      <c r="G85" s="35" t="s">
        <v>475</v>
      </c>
      <c r="H85" s="18"/>
      <c r="I85" s="22" t="s">
        <v>182</v>
      </c>
    </row>
    <row r="86" spans="1:9" ht="18.75" customHeight="1" x14ac:dyDescent="0.3">
      <c r="A86" s="20"/>
      <c r="B86" s="14" t="s">
        <v>125</v>
      </c>
      <c r="C86" s="14" t="s">
        <v>163</v>
      </c>
      <c r="D86" s="21"/>
      <c r="E86" s="22"/>
      <c r="F86" s="18"/>
      <c r="G86" s="19"/>
      <c r="H86" s="18"/>
      <c r="I86" s="22"/>
    </row>
    <row r="87" spans="1:9" ht="18.75" customHeight="1" x14ac:dyDescent="0.3">
      <c r="A87" s="20"/>
      <c r="B87" s="14" t="s">
        <v>127</v>
      </c>
      <c r="C87" s="14" t="s">
        <v>128</v>
      </c>
      <c r="D87" s="21"/>
      <c r="E87" s="22"/>
      <c r="F87" s="18"/>
      <c r="G87" s="19"/>
      <c r="H87" s="18"/>
      <c r="I87" s="22"/>
    </row>
    <row r="88" spans="1:9" ht="18.75" customHeight="1" x14ac:dyDescent="0.3">
      <c r="A88" s="20"/>
      <c r="B88" s="14" t="s">
        <v>129</v>
      </c>
      <c r="C88" s="14" t="s">
        <v>164</v>
      </c>
      <c r="D88" s="21"/>
      <c r="E88" s="22"/>
      <c r="F88" s="18"/>
      <c r="G88" s="19"/>
      <c r="H88" s="18"/>
      <c r="I88" s="22"/>
    </row>
    <row r="89" spans="1:9" ht="18.75" customHeight="1" x14ac:dyDescent="0.3">
      <c r="A89" s="20"/>
      <c r="B89" s="14" t="s">
        <v>131</v>
      </c>
      <c r="C89" s="14" t="s">
        <v>132</v>
      </c>
      <c r="D89" s="21"/>
      <c r="E89" s="22"/>
      <c r="F89" s="18"/>
      <c r="G89" s="19"/>
      <c r="H89" s="18"/>
      <c r="I89" s="22"/>
    </row>
    <row r="90" spans="1:9" ht="18.75" customHeight="1" x14ac:dyDescent="0.3">
      <c r="A90" s="20"/>
      <c r="B90" s="14" t="s">
        <v>133</v>
      </c>
      <c r="C90" s="14" t="s">
        <v>183</v>
      </c>
      <c r="D90" s="21"/>
      <c r="E90" s="22"/>
      <c r="F90" s="18"/>
      <c r="G90" s="19"/>
      <c r="H90" s="18"/>
      <c r="I90" s="22"/>
    </row>
    <row r="91" spans="1:9" ht="18.75" customHeight="1" x14ac:dyDescent="0.3">
      <c r="A91" s="15" t="s">
        <v>184</v>
      </c>
      <c r="B91" s="13" t="s">
        <v>120</v>
      </c>
      <c r="C91" s="13" t="s">
        <v>121</v>
      </c>
      <c r="D91" s="16" t="s">
        <v>160</v>
      </c>
      <c r="E91" s="17" t="s">
        <v>185</v>
      </c>
      <c r="F91" s="18" t="s">
        <v>57</v>
      </c>
      <c r="G91" s="35" t="s">
        <v>475</v>
      </c>
      <c r="H91" s="18"/>
      <c r="I91" s="17" t="s">
        <v>182</v>
      </c>
    </row>
    <row r="92" spans="1:9" ht="18.75" customHeight="1" x14ac:dyDescent="0.3">
      <c r="A92" s="15"/>
      <c r="B92" s="13" t="s">
        <v>125</v>
      </c>
      <c r="C92" s="13" t="s">
        <v>163</v>
      </c>
      <c r="D92" s="16"/>
      <c r="E92" s="17"/>
      <c r="F92" s="18"/>
      <c r="G92" s="19"/>
      <c r="H92" s="18"/>
      <c r="I92" s="17"/>
    </row>
    <row r="93" spans="1:9" ht="18.75" customHeight="1" x14ac:dyDescent="0.3">
      <c r="A93" s="15"/>
      <c r="B93" s="13" t="s">
        <v>127</v>
      </c>
      <c r="C93" s="13" t="s">
        <v>128</v>
      </c>
      <c r="D93" s="16"/>
      <c r="E93" s="17"/>
      <c r="F93" s="18"/>
      <c r="G93" s="19"/>
      <c r="H93" s="18"/>
      <c r="I93" s="17"/>
    </row>
    <row r="94" spans="1:9" ht="18.75" customHeight="1" x14ac:dyDescent="0.3">
      <c r="A94" s="15"/>
      <c r="B94" s="13" t="s">
        <v>129</v>
      </c>
      <c r="C94" s="13" t="s">
        <v>164</v>
      </c>
      <c r="D94" s="16"/>
      <c r="E94" s="17"/>
      <c r="F94" s="18"/>
      <c r="G94" s="19"/>
      <c r="H94" s="18"/>
      <c r="I94" s="17"/>
    </row>
    <row r="95" spans="1:9" ht="18.75" customHeight="1" x14ac:dyDescent="0.3">
      <c r="A95" s="15"/>
      <c r="B95" s="13" t="s">
        <v>131</v>
      </c>
      <c r="C95" s="13" t="s">
        <v>132</v>
      </c>
      <c r="D95" s="16"/>
      <c r="E95" s="17"/>
      <c r="F95" s="18"/>
      <c r="G95" s="19"/>
      <c r="H95" s="18"/>
      <c r="I95" s="17"/>
    </row>
    <row r="96" spans="1:9" ht="18.75" customHeight="1" x14ac:dyDescent="0.3">
      <c r="A96" s="15"/>
      <c r="B96" s="13" t="s">
        <v>133</v>
      </c>
      <c r="C96" s="13" t="s">
        <v>186</v>
      </c>
      <c r="D96" s="16"/>
      <c r="E96" s="17"/>
      <c r="F96" s="18"/>
      <c r="G96" s="19"/>
      <c r="H96" s="18"/>
      <c r="I96" s="17"/>
    </row>
    <row r="97" spans="1:9" ht="18.75" customHeight="1" x14ac:dyDescent="0.3">
      <c r="A97" s="20" t="s">
        <v>187</v>
      </c>
      <c r="B97" s="14" t="s">
        <v>120</v>
      </c>
      <c r="C97" s="14" t="s">
        <v>188</v>
      </c>
      <c r="D97" s="21" t="s">
        <v>160</v>
      </c>
      <c r="E97" s="22" t="s">
        <v>189</v>
      </c>
      <c r="F97" s="18" t="s">
        <v>57</v>
      </c>
      <c r="G97" s="35" t="s">
        <v>475</v>
      </c>
      <c r="H97" s="18"/>
      <c r="I97" s="22" t="s">
        <v>190</v>
      </c>
    </row>
    <row r="98" spans="1:9" ht="18.75" customHeight="1" x14ac:dyDescent="0.3">
      <c r="A98" s="20"/>
      <c r="B98" s="14" t="s">
        <v>125</v>
      </c>
      <c r="C98" s="14" t="s">
        <v>126</v>
      </c>
      <c r="D98" s="21"/>
      <c r="E98" s="22"/>
      <c r="F98" s="18"/>
      <c r="G98" s="19"/>
      <c r="H98" s="18"/>
      <c r="I98" s="22"/>
    </row>
    <row r="99" spans="1:9" ht="18.75" customHeight="1" x14ac:dyDescent="0.3">
      <c r="A99" s="20"/>
      <c r="B99" s="14" t="s">
        <v>127</v>
      </c>
      <c r="C99" s="14" t="s">
        <v>191</v>
      </c>
      <c r="D99" s="21"/>
      <c r="E99" s="22"/>
      <c r="F99" s="18"/>
      <c r="G99" s="19"/>
      <c r="H99" s="18"/>
      <c r="I99" s="22"/>
    </row>
    <row r="100" spans="1:9" ht="18.75" customHeight="1" x14ac:dyDescent="0.3">
      <c r="A100" s="20"/>
      <c r="B100" s="14" t="s">
        <v>129</v>
      </c>
      <c r="C100" s="14" t="s">
        <v>192</v>
      </c>
      <c r="D100" s="21"/>
      <c r="E100" s="22"/>
      <c r="F100" s="18"/>
      <c r="G100" s="19"/>
      <c r="H100" s="18"/>
      <c r="I100" s="22"/>
    </row>
    <row r="101" spans="1:9" ht="18.75" customHeight="1" x14ac:dyDescent="0.3">
      <c r="A101" s="20"/>
      <c r="B101" s="14" t="s">
        <v>131</v>
      </c>
      <c r="C101" s="14" t="s">
        <v>132</v>
      </c>
      <c r="D101" s="21"/>
      <c r="E101" s="22"/>
      <c r="F101" s="18"/>
      <c r="G101" s="19"/>
      <c r="H101" s="18"/>
      <c r="I101" s="22"/>
    </row>
    <row r="102" spans="1:9" ht="18.75" customHeight="1" x14ac:dyDescent="0.3">
      <c r="A102" s="20"/>
      <c r="B102" s="14" t="s">
        <v>133</v>
      </c>
      <c r="C102" s="14" t="s">
        <v>134</v>
      </c>
      <c r="D102" s="21"/>
      <c r="E102" s="22"/>
      <c r="F102" s="18"/>
      <c r="G102" s="19"/>
      <c r="H102" s="18"/>
      <c r="I102" s="22"/>
    </row>
    <row r="103" spans="1:9" ht="18.75" customHeight="1" x14ac:dyDescent="0.3">
      <c r="A103" s="15" t="s">
        <v>193</v>
      </c>
      <c r="B103" s="13" t="s">
        <v>120</v>
      </c>
      <c r="C103" s="13" t="s">
        <v>194</v>
      </c>
      <c r="D103" s="16" t="s">
        <v>160</v>
      </c>
      <c r="E103" s="17" t="s">
        <v>189</v>
      </c>
      <c r="F103" s="18" t="s">
        <v>57</v>
      </c>
      <c r="G103" s="35" t="s">
        <v>475</v>
      </c>
      <c r="H103" s="18"/>
      <c r="I103" s="17" t="s">
        <v>195</v>
      </c>
    </row>
    <row r="104" spans="1:9" ht="18.75" customHeight="1" x14ac:dyDescent="0.3">
      <c r="A104" s="15"/>
      <c r="B104" s="13" t="s">
        <v>125</v>
      </c>
      <c r="C104" s="13" t="s">
        <v>196</v>
      </c>
      <c r="D104" s="16"/>
      <c r="E104" s="17"/>
      <c r="F104" s="18"/>
      <c r="G104" s="19"/>
      <c r="H104" s="18"/>
      <c r="I104" s="17"/>
    </row>
    <row r="105" spans="1:9" ht="18.75" customHeight="1" x14ac:dyDescent="0.3">
      <c r="A105" s="15"/>
      <c r="B105" s="13" t="s">
        <v>127</v>
      </c>
      <c r="C105" s="13" t="s">
        <v>197</v>
      </c>
      <c r="D105" s="16"/>
      <c r="E105" s="17"/>
      <c r="F105" s="18"/>
      <c r="G105" s="19"/>
      <c r="H105" s="18"/>
      <c r="I105" s="17"/>
    </row>
    <row r="106" spans="1:9" ht="18.75" customHeight="1" x14ac:dyDescent="0.3">
      <c r="A106" s="15"/>
      <c r="B106" s="13" t="s">
        <v>129</v>
      </c>
      <c r="C106" s="13" t="s">
        <v>198</v>
      </c>
      <c r="D106" s="16"/>
      <c r="E106" s="17"/>
      <c r="F106" s="18"/>
      <c r="G106" s="19"/>
      <c r="H106" s="18"/>
      <c r="I106" s="17"/>
    </row>
    <row r="107" spans="1:9" ht="18.75" customHeight="1" x14ac:dyDescent="0.3">
      <c r="A107" s="15"/>
      <c r="B107" s="13" t="s">
        <v>131</v>
      </c>
      <c r="C107" s="13" t="s">
        <v>132</v>
      </c>
      <c r="D107" s="16"/>
      <c r="E107" s="17"/>
      <c r="F107" s="18"/>
      <c r="G107" s="19"/>
      <c r="H107" s="18"/>
      <c r="I107" s="17"/>
    </row>
    <row r="108" spans="1:9" ht="18.75" customHeight="1" x14ac:dyDescent="0.3">
      <c r="A108" s="15"/>
      <c r="B108" s="13" t="s">
        <v>133</v>
      </c>
      <c r="C108" s="13" t="s">
        <v>134</v>
      </c>
      <c r="D108" s="16"/>
      <c r="E108" s="17"/>
      <c r="F108" s="18"/>
      <c r="G108" s="19"/>
      <c r="H108" s="18"/>
      <c r="I108" s="17"/>
    </row>
    <row r="109" spans="1:9" ht="18.75" customHeight="1" x14ac:dyDescent="0.3">
      <c r="A109" s="20" t="s">
        <v>199</v>
      </c>
      <c r="B109" s="14" t="s">
        <v>120</v>
      </c>
      <c r="C109" s="14" t="s">
        <v>200</v>
      </c>
      <c r="D109" s="21" t="s">
        <v>160</v>
      </c>
      <c r="E109" s="22" t="s">
        <v>189</v>
      </c>
      <c r="F109" s="18" t="s">
        <v>57</v>
      </c>
      <c r="G109" s="35" t="s">
        <v>475</v>
      </c>
      <c r="H109" s="18"/>
      <c r="I109" s="22" t="s">
        <v>201</v>
      </c>
    </row>
    <row r="110" spans="1:9" ht="18.75" customHeight="1" x14ac:dyDescent="0.3">
      <c r="A110" s="20"/>
      <c r="B110" s="14" t="s">
        <v>125</v>
      </c>
      <c r="C110" s="14" t="s">
        <v>126</v>
      </c>
      <c r="D110" s="21"/>
      <c r="E110" s="22"/>
      <c r="F110" s="18"/>
      <c r="G110" s="19"/>
      <c r="H110" s="18"/>
      <c r="I110" s="22"/>
    </row>
    <row r="111" spans="1:9" ht="18.75" customHeight="1" x14ac:dyDescent="0.3">
      <c r="A111" s="20"/>
      <c r="B111" s="14" t="s">
        <v>127</v>
      </c>
      <c r="C111" s="14" t="s">
        <v>202</v>
      </c>
      <c r="D111" s="21"/>
      <c r="E111" s="22"/>
      <c r="F111" s="18"/>
      <c r="G111" s="19"/>
      <c r="H111" s="18"/>
      <c r="I111" s="22"/>
    </row>
    <row r="112" spans="1:9" ht="18.75" customHeight="1" x14ac:dyDescent="0.3">
      <c r="A112" s="20"/>
      <c r="B112" s="14" t="s">
        <v>129</v>
      </c>
      <c r="C112" s="14" t="s">
        <v>203</v>
      </c>
      <c r="D112" s="21"/>
      <c r="E112" s="22"/>
      <c r="F112" s="18"/>
      <c r="G112" s="19"/>
      <c r="H112" s="18"/>
      <c r="I112" s="22"/>
    </row>
    <row r="113" spans="1:9" ht="18.75" customHeight="1" x14ac:dyDescent="0.3">
      <c r="A113" s="20"/>
      <c r="B113" s="14" t="s">
        <v>131</v>
      </c>
      <c r="C113" s="14" t="s">
        <v>149</v>
      </c>
      <c r="D113" s="21"/>
      <c r="E113" s="22"/>
      <c r="F113" s="18"/>
      <c r="G113" s="19"/>
      <c r="H113" s="18"/>
      <c r="I113" s="22"/>
    </row>
    <row r="114" spans="1:9" ht="18.75" customHeight="1" x14ac:dyDescent="0.3">
      <c r="A114" s="20"/>
      <c r="B114" s="14" t="s">
        <v>133</v>
      </c>
      <c r="C114" s="14" t="s">
        <v>134</v>
      </c>
      <c r="D114" s="21"/>
      <c r="E114" s="22"/>
      <c r="F114" s="18"/>
      <c r="G114" s="19"/>
      <c r="H114" s="18"/>
      <c r="I114" s="22"/>
    </row>
  </sheetData>
  <mergeCells count="141">
    <mergeCell ref="A1:I1"/>
    <mergeCell ref="A2:I2"/>
    <mergeCell ref="A4:C4"/>
    <mergeCell ref="E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A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A17:I17"/>
    <mergeCell ref="A19:A24"/>
    <mergeCell ref="D19:D24"/>
    <mergeCell ref="E19:E24"/>
    <mergeCell ref="F19:F24"/>
    <mergeCell ref="G19:G24"/>
    <mergeCell ref="H19:H24"/>
    <mergeCell ref="I19:I24"/>
    <mergeCell ref="A25:A30"/>
    <mergeCell ref="D25:D30"/>
    <mergeCell ref="E25:E30"/>
    <mergeCell ref="F25:F30"/>
    <mergeCell ref="G25:G30"/>
    <mergeCell ref="H25:H30"/>
    <mergeCell ref="I25:I30"/>
    <mergeCell ref="A31:A36"/>
    <mergeCell ref="D31:D36"/>
    <mergeCell ref="E31:E36"/>
    <mergeCell ref="F31:F36"/>
    <mergeCell ref="G31:G36"/>
    <mergeCell ref="H31:H36"/>
    <mergeCell ref="I31:I36"/>
    <mergeCell ref="A37:A42"/>
    <mergeCell ref="D37:D42"/>
    <mergeCell ref="E37:E42"/>
    <mergeCell ref="F37:F42"/>
    <mergeCell ref="G37:G42"/>
    <mergeCell ref="H37:H42"/>
    <mergeCell ref="I37:I42"/>
    <mergeCell ref="A43:A48"/>
    <mergeCell ref="D43:D48"/>
    <mergeCell ref="E43:E48"/>
    <mergeCell ref="F43:F48"/>
    <mergeCell ref="G43:G48"/>
    <mergeCell ref="H43:H48"/>
    <mergeCell ref="I43:I48"/>
    <mergeCell ref="A49:A54"/>
    <mergeCell ref="D49:D54"/>
    <mergeCell ref="E49:E54"/>
    <mergeCell ref="F49:F54"/>
    <mergeCell ref="G49:G54"/>
    <mergeCell ref="H49:H54"/>
    <mergeCell ref="I49:I54"/>
    <mergeCell ref="A55:A60"/>
    <mergeCell ref="D55:D60"/>
    <mergeCell ref="E55:E60"/>
    <mergeCell ref="F55:F60"/>
    <mergeCell ref="G55:G60"/>
    <mergeCell ref="H55:H60"/>
    <mergeCell ref="I55:I60"/>
    <mergeCell ref="A61:A66"/>
    <mergeCell ref="D61:D66"/>
    <mergeCell ref="E61:E66"/>
    <mergeCell ref="F61:F66"/>
    <mergeCell ref="G61:G66"/>
    <mergeCell ref="H61:H66"/>
    <mergeCell ref="I61:I66"/>
    <mergeCell ref="A67:A72"/>
    <mergeCell ref="D67:D72"/>
    <mergeCell ref="E67:E72"/>
    <mergeCell ref="F67:F72"/>
    <mergeCell ref="G67:G72"/>
    <mergeCell ref="H67:H72"/>
    <mergeCell ref="I67:I72"/>
    <mergeCell ref="A73:A78"/>
    <mergeCell ref="D73:D78"/>
    <mergeCell ref="E73:E78"/>
    <mergeCell ref="F73:F78"/>
    <mergeCell ref="G73:G78"/>
    <mergeCell ref="H73:H78"/>
    <mergeCell ref="I73:I78"/>
    <mergeCell ref="A79:A84"/>
    <mergeCell ref="D79:D84"/>
    <mergeCell ref="E79:E84"/>
    <mergeCell ref="F79:F84"/>
    <mergeCell ref="G79:G84"/>
    <mergeCell ref="H79:H84"/>
    <mergeCell ref="I79:I84"/>
    <mergeCell ref="A85:A90"/>
    <mergeCell ref="D85:D90"/>
    <mergeCell ref="E85:E90"/>
    <mergeCell ref="F85:F90"/>
    <mergeCell ref="G85:G90"/>
    <mergeCell ref="H85:H90"/>
    <mergeCell ref="I85:I90"/>
    <mergeCell ref="A91:A96"/>
    <mergeCell ref="D91:D96"/>
    <mergeCell ref="E91:E96"/>
    <mergeCell ref="F91:F96"/>
    <mergeCell ref="G91:G96"/>
    <mergeCell ref="H91:H96"/>
    <mergeCell ref="I91:I96"/>
    <mergeCell ref="A97:A102"/>
    <mergeCell ref="D97:D102"/>
    <mergeCell ref="E97:E102"/>
    <mergeCell ref="F97:F102"/>
    <mergeCell ref="G97:G102"/>
    <mergeCell ref="H97:H102"/>
    <mergeCell ref="I97:I102"/>
    <mergeCell ref="A103:A108"/>
    <mergeCell ref="D103:D108"/>
    <mergeCell ref="E103:E108"/>
    <mergeCell ref="F103:F108"/>
    <mergeCell ref="G103:G108"/>
    <mergeCell ref="H103:H108"/>
    <mergeCell ref="I103:I108"/>
    <mergeCell ref="A109:A114"/>
    <mergeCell ref="D109:D114"/>
    <mergeCell ref="E109:E114"/>
    <mergeCell ref="F109:F114"/>
    <mergeCell ref="G109:G114"/>
    <mergeCell ref="H109:H114"/>
    <mergeCell ref="I109:I114"/>
  </mergeCells>
  <conditionalFormatting sqref="F19:F114">
    <cfRule type="cellIs" dxfId="17" priority="2" operator="equal">
      <formula>"OK"</formula>
    </cfRule>
    <cfRule type="cellIs" dxfId="16" priority="3" operator="equal">
      <formula>"NOK"</formula>
    </cfRule>
  </conditionalFormatting>
  <dataValidations count="4">
    <dataValidation type="list" allowBlank="1" sqref="B10" xr:uid="{00000000-0002-0000-0200-000000000000}">
      <formula1>"Unitaria,Integración,Funcional,Aceptación,Regresión,No funcional"</formula1>
      <formula2>0</formula2>
    </dataValidation>
    <dataValidation type="list" allowBlank="1" sqref="D19:D114" xr:uid="{00000000-0002-0000-0200-000001000000}">
      <formula1>"Positivo (+),Negativo (-)"</formula1>
      <formula2>0</formula2>
    </dataValidation>
    <dataValidation type="list" allowBlank="1" sqref="F19:F114" xr:uid="{00000000-0002-0000-0200-000002000000}">
      <formula1>"OK,NOK"</formula1>
      <formula2>0</formula2>
    </dataValidation>
    <dataValidation type="list" allowBlank="1" sqref="H19:H114" xr:uid="{00000000-0002-0000-0200-000003000000}">
      <formula1>"Baja,Media,Alta"</formula1>
      <formula2>0</formula2>
    </dataValidation>
  </dataValidations>
  <hyperlinks>
    <hyperlink ref="G19" r:id="rId1" xr:uid="{E41A219B-829A-4650-8D6A-6AE12BD43E18}"/>
    <hyperlink ref="G25" r:id="rId2" xr:uid="{E9C1551E-5B2E-472F-848E-6D18DB19D900}"/>
    <hyperlink ref="G31" r:id="rId3" xr:uid="{F7A86A73-08E6-4BD6-A378-CD484852BF64}"/>
    <hyperlink ref="G37" r:id="rId4" xr:uid="{53A7F438-C91C-4252-B086-7BB9AEA97E8A}"/>
    <hyperlink ref="G43" r:id="rId5" xr:uid="{83C54226-EE91-4DCD-ACAE-E55B570D4B1E}"/>
    <hyperlink ref="G49" r:id="rId6" xr:uid="{EFB33C35-9066-44B4-8515-92834FD64655}"/>
    <hyperlink ref="G55" r:id="rId7" xr:uid="{FEE0B330-9699-49A1-9197-EB0430FA5410}"/>
    <hyperlink ref="G61" r:id="rId8" xr:uid="{B30A1955-2FFC-4657-9A19-69FBEC94FA4F}"/>
    <hyperlink ref="G67" r:id="rId9" xr:uid="{7029CE1C-E170-416D-9BB5-F2ABB0F0000B}"/>
    <hyperlink ref="G73" r:id="rId10" xr:uid="{94205541-AC3D-44FA-BC7C-E9D90D470343}"/>
    <hyperlink ref="G79" r:id="rId11" xr:uid="{F351FCD0-0BA8-4BFF-889F-B2337DF35BD1}"/>
    <hyperlink ref="G85" r:id="rId12" xr:uid="{74543EB0-8102-4B32-8739-EF35799D9A02}"/>
    <hyperlink ref="G91" r:id="rId13" xr:uid="{702052E9-9A17-4771-83E2-8B88FB0D58CB}"/>
    <hyperlink ref="G97" r:id="rId14" xr:uid="{B5E5E4BD-5D82-42FB-8D17-B40D08B90617}"/>
    <hyperlink ref="G103" r:id="rId15" xr:uid="{91ADFABA-C588-41E2-BAE0-33CD174BFA6A}"/>
    <hyperlink ref="G109" r:id="rId16" xr:uid="{B0B29C8E-B40F-42CC-948F-8E8658CA643B}"/>
  </hyperlinks>
  <pageMargins left="0.75" right="0.75" top="1" bottom="1" header="0.511811023622047" footer="0.511811023622047"/>
  <pageSetup fitToHeight="0" orientation="landscape" horizontalDpi="300" verticalDpi="300"/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72"/>
  <sheetViews>
    <sheetView showGridLines="0" zoomScale="53" zoomScaleNormal="100" workbookViewId="0">
      <pane xSplit="1" ySplit="18" topLeftCell="B51" activePane="bottomRight" state="frozen"/>
      <selection pane="topRight" activeCell="B1" sqref="B1"/>
      <selection pane="bottomLeft" activeCell="A19" sqref="A19"/>
      <selection pane="bottomRight" activeCell="P66" sqref="P66"/>
    </sheetView>
  </sheetViews>
  <sheetFormatPr baseColWidth="10" defaultColWidth="8.6640625" defaultRowHeight="14.4" x14ac:dyDescent="0.3"/>
  <cols>
    <col min="1" max="1" width="34" customWidth="1"/>
    <col min="2" max="2" width="22" customWidth="1"/>
    <col min="3" max="3" width="40" customWidth="1"/>
    <col min="4" max="4" width="14" customWidth="1"/>
    <col min="5" max="5" width="52" customWidth="1"/>
    <col min="6" max="6" width="16" customWidth="1"/>
    <col min="7" max="7" width="36" customWidth="1"/>
    <col min="8" max="8" width="16" customWidth="1"/>
    <col min="9" max="9" width="46" customWidth="1"/>
  </cols>
  <sheetData>
    <row r="1" spans="1:9" ht="33.75" customHeight="1" x14ac:dyDescent="0.3">
      <c r="A1" s="31" t="s">
        <v>204</v>
      </c>
      <c r="B1" s="31"/>
      <c r="C1" s="31"/>
      <c r="D1" s="31"/>
      <c r="E1" s="31"/>
      <c r="F1" s="31"/>
      <c r="G1" s="31"/>
      <c r="H1" s="31"/>
      <c r="I1" s="31"/>
    </row>
    <row r="2" spans="1:9" ht="15" customHeight="1" x14ac:dyDescent="0.3">
      <c r="A2" s="32" t="s">
        <v>82</v>
      </c>
      <c r="B2" s="32"/>
      <c r="C2" s="32"/>
      <c r="D2" s="32"/>
      <c r="E2" s="32"/>
      <c r="F2" s="32"/>
      <c r="G2" s="32"/>
      <c r="H2" s="32"/>
      <c r="I2" s="32"/>
    </row>
    <row r="4" spans="1:9" ht="15" customHeight="1" x14ac:dyDescent="0.3">
      <c r="A4" s="33" t="s">
        <v>83</v>
      </c>
      <c r="B4" s="33"/>
      <c r="C4" s="33"/>
      <c r="E4" s="33" t="s">
        <v>84</v>
      </c>
      <c r="F4" s="33"/>
      <c r="G4" s="33"/>
    </row>
    <row r="5" spans="1:9" ht="15" customHeight="1" x14ac:dyDescent="0.3">
      <c r="A5" s="2" t="s">
        <v>85</v>
      </c>
      <c r="B5" s="28" t="s">
        <v>86</v>
      </c>
      <c r="C5" s="28"/>
      <c r="E5" s="10" t="s">
        <v>87</v>
      </c>
      <c r="F5" s="24">
        <f>COUNTA(A19:A72)</f>
        <v>9</v>
      </c>
      <c r="G5" s="24"/>
    </row>
    <row r="6" spans="1:9" ht="15" customHeight="1" x14ac:dyDescent="0.3">
      <c r="A6" s="2" t="s">
        <v>88</v>
      </c>
      <c r="B6" s="28" t="s">
        <v>205</v>
      </c>
      <c r="C6" s="28"/>
      <c r="E6" s="10" t="s">
        <v>90</v>
      </c>
      <c r="F6" s="24">
        <f>COUNTIF(F19:F72,"OK")+COUNTIF(F19:F72,"NOK")</f>
        <v>9</v>
      </c>
      <c r="G6" s="24"/>
    </row>
    <row r="7" spans="1:9" ht="15" customHeight="1" x14ac:dyDescent="0.3">
      <c r="A7" s="2" t="s">
        <v>91</v>
      </c>
      <c r="B7" s="28" t="s">
        <v>92</v>
      </c>
      <c r="C7" s="28"/>
      <c r="E7" s="10" t="s">
        <v>93</v>
      </c>
      <c r="F7" s="24">
        <f>COUNTIF(F19:F72,"OK")</f>
        <v>9</v>
      </c>
      <c r="G7" s="24"/>
    </row>
    <row r="8" spans="1:9" ht="15" customHeight="1" x14ac:dyDescent="0.3">
      <c r="A8" s="2" t="s">
        <v>94</v>
      </c>
      <c r="B8" s="28"/>
      <c r="C8" s="28"/>
      <c r="E8" s="10" t="s">
        <v>95</v>
      </c>
      <c r="F8" s="24">
        <f>COUNTIF(F19:F72,"NOK")</f>
        <v>0</v>
      </c>
      <c r="G8" s="24"/>
    </row>
    <row r="9" spans="1:9" ht="15" customHeight="1" x14ac:dyDescent="0.3">
      <c r="A9" s="2" t="s">
        <v>96</v>
      </c>
      <c r="B9" s="28"/>
      <c r="C9" s="28"/>
      <c r="E9" s="10" t="s">
        <v>97</v>
      </c>
      <c r="F9" s="29">
        <f>IF(F6=0,0,F7/F6)</f>
        <v>1</v>
      </c>
      <c r="G9" s="29"/>
    </row>
    <row r="10" spans="1:9" ht="15" customHeight="1" x14ac:dyDescent="0.3">
      <c r="A10" s="2" t="s">
        <v>98</v>
      </c>
      <c r="B10" s="28" t="s">
        <v>99</v>
      </c>
      <c r="C10" s="28"/>
      <c r="E10" s="10" t="s">
        <v>100</v>
      </c>
      <c r="F10" s="29">
        <f>IF(F6=0,0,F8/F6)</f>
        <v>0</v>
      </c>
      <c r="G10" s="29"/>
    </row>
    <row r="11" spans="1:9" ht="15" customHeight="1" x14ac:dyDescent="0.3">
      <c r="A11" s="30" t="s">
        <v>101</v>
      </c>
      <c r="B11" s="30"/>
      <c r="C11" s="30"/>
      <c r="E11" s="10" t="s">
        <v>102</v>
      </c>
      <c r="F11" s="24">
        <f>F5-F6</f>
        <v>0</v>
      </c>
      <c r="G11" s="24"/>
    </row>
    <row r="12" spans="1:9" ht="15" customHeight="1" x14ac:dyDescent="0.3">
      <c r="A12" s="2" t="s">
        <v>206</v>
      </c>
      <c r="B12" s="23">
        <f>COUNTIF(A19:A72,"*_CA1_*")</f>
        <v>3</v>
      </c>
      <c r="C12" s="23"/>
      <c r="E12" s="10" t="s">
        <v>104</v>
      </c>
      <c r="F12" s="24">
        <f>COUNTIF(D19:D72,"Positivo*")</f>
        <v>3</v>
      </c>
      <c r="G12" s="24"/>
    </row>
    <row r="13" spans="1:9" ht="15" customHeight="1" x14ac:dyDescent="0.3">
      <c r="A13" s="2" t="s">
        <v>207</v>
      </c>
      <c r="B13" s="23">
        <f>COUNTIF(A19:A72,"*_CA2_*")</f>
        <v>1</v>
      </c>
      <c r="C13" s="23"/>
      <c r="E13" s="10" t="s">
        <v>106</v>
      </c>
      <c r="F13" s="24">
        <f>COUNTIF(D19:D72,"Negativo*")</f>
        <v>6</v>
      </c>
      <c r="G13" s="24"/>
    </row>
    <row r="14" spans="1:9" ht="15" customHeight="1" x14ac:dyDescent="0.3">
      <c r="A14" s="2" t="s">
        <v>208</v>
      </c>
      <c r="B14" s="23">
        <f>COUNTIF(A19:A72,"*_CA3_*")</f>
        <v>5</v>
      </c>
      <c r="C14" s="23"/>
      <c r="E14" s="10" t="s">
        <v>108</v>
      </c>
      <c r="F14" s="24">
        <f>COUNTIF(H19:H72,"Baja")</f>
        <v>0</v>
      </c>
      <c r="G14" s="24"/>
    </row>
    <row r="15" spans="1:9" ht="15" customHeight="1" x14ac:dyDescent="0.3">
      <c r="A15" s="11" t="s">
        <v>109</v>
      </c>
      <c r="B15" s="25">
        <f>COUNTIF(A19:A72,"*_CA4_*")</f>
        <v>0</v>
      </c>
      <c r="C15" s="25"/>
      <c r="E15" s="10" t="s">
        <v>110</v>
      </c>
      <c r="F15" s="24">
        <f>COUNTIF(H19:H72,"Media")</f>
        <v>0</v>
      </c>
      <c r="G15" s="24"/>
    </row>
    <row r="16" spans="1:9" ht="15" customHeight="1" x14ac:dyDescent="0.3">
      <c r="A16" s="12" t="s">
        <v>111</v>
      </c>
      <c r="B16" s="26">
        <f>SUM(B12:B15)</f>
        <v>9</v>
      </c>
      <c r="C16" s="26"/>
      <c r="E16" s="10" t="s">
        <v>112</v>
      </c>
      <c r="F16" s="24">
        <f>COUNTIF(H19:H72,"Alta")</f>
        <v>0</v>
      </c>
      <c r="G16" s="24"/>
    </row>
    <row r="17" spans="1:9" ht="15" customHeight="1" x14ac:dyDescent="0.3">
      <c r="A17" s="27" t="s">
        <v>113</v>
      </c>
      <c r="B17" s="27"/>
      <c r="C17" s="27"/>
      <c r="D17" s="27"/>
      <c r="E17" s="27"/>
      <c r="F17" s="27"/>
      <c r="G17" s="27"/>
      <c r="H17" s="27"/>
      <c r="I17" s="27"/>
    </row>
    <row r="18" spans="1:9" ht="33.75" customHeight="1" x14ac:dyDescent="0.3">
      <c r="A18" s="4" t="s">
        <v>16</v>
      </c>
      <c r="B18" s="4" t="s">
        <v>114</v>
      </c>
      <c r="C18" s="4" t="s">
        <v>115</v>
      </c>
      <c r="D18" s="4" t="s">
        <v>20</v>
      </c>
      <c r="E18" s="4" t="s">
        <v>22</v>
      </c>
      <c r="F18" s="4" t="s">
        <v>116</v>
      </c>
      <c r="G18" s="4" t="s">
        <v>117</v>
      </c>
      <c r="H18" s="4" t="s">
        <v>118</v>
      </c>
      <c r="I18" s="4" t="s">
        <v>24</v>
      </c>
    </row>
    <row r="19" spans="1:9" ht="18.75" customHeight="1" x14ac:dyDescent="0.3">
      <c r="A19" s="15" t="s">
        <v>209</v>
      </c>
      <c r="B19" s="13" t="s">
        <v>120</v>
      </c>
      <c r="C19" s="13" t="s">
        <v>121</v>
      </c>
      <c r="D19" s="16" t="s">
        <v>122</v>
      </c>
      <c r="E19" s="17" t="s">
        <v>210</v>
      </c>
      <c r="F19" s="18" t="s">
        <v>57</v>
      </c>
      <c r="G19" s="35" t="s">
        <v>476</v>
      </c>
      <c r="H19" s="18"/>
      <c r="I19" s="17" t="s">
        <v>211</v>
      </c>
    </row>
    <row r="20" spans="1:9" ht="18.75" customHeight="1" x14ac:dyDescent="0.3">
      <c r="A20" s="15"/>
      <c r="B20" s="13" t="s">
        <v>125</v>
      </c>
      <c r="C20" s="13" t="s">
        <v>126</v>
      </c>
      <c r="D20" s="16"/>
      <c r="E20" s="17"/>
      <c r="F20" s="18"/>
      <c r="G20" s="19"/>
      <c r="H20" s="18"/>
      <c r="I20" s="17"/>
    </row>
    <row r="21" spans="1:9" ht="18.75" customHeight="1" x14ac:dyDescent="0.3">
      <c r="A21" s="15"/>
      <c r="B21" s="13" t="s">
        <v>127</v>
      </c>
      <c r="C21" s="13" t="s">
        <v>212</v>
      </c>
      <c r="D21" s="16"/>
      <c r="E21" s="17"/>
      <c r="F21" s="18"/>
      <c r="G21" s="19"/>
      <c r="H21" s="18"/>
      <c r="I21" s="17"/>
    </row>
    <row r="22" spans="1:9" ht="18.75" customHeight="1" x14ac:dyDescent="0.3">
      <c r="A22" s="15"/>
      <c r="B22" s="13" t="s">
        <v>129</v>
      </c>
      <c r="C22" s="13" t="s">
        <v>130</v>
      </c>
      <c r="D22" s="16"/>
      <c r="E22" s="17"/>
      <c r="F22" s="18"/>
      <c r="G22" s="19"/>
      <c r="H22" s="18"/>
      <c r="I22" s="17"/>
    </row>
    <row r="23" spans="1:9" ht="18.75" customHeight="1" x14ac:dyDescent="0.3">
      <c r="A23" s="15"/>
      <c r="B23" s="13" t="s">
        <v>131</v>
      </c>
      <c r="C23" s="13" t="s">
        <v>132</v>
      </c>
      <c r="D23" s="16"/>
      <c r="E23" s="17"/>
      <c r="F23" s="18"/>
      <c r="G23" s="19"/>
      <c r="H23" s="18"/>
      <c r="I23" s="17"/>
    </row>
    <row r="24" spans="1:9" ht="18.75" customHeight="1" x14ac:dyDescent="0.3">
      <c r="A24" s="15"/>
      <c r="B24" s="13" t="s">
        <v>133</v>
      </c>
      <c r="C24" s="13" t="s">
        <v>213</v>
      </c>
      <c r="D24" s="16"/>
      <c r="E24" s="17"/>
      <c r="F24" s="18"/>
      <c r="G24" s="19"/>
      <c r="H24" s="18"/>
      <c r="I24" s="17"/>
    </row>
    <row r="25" spans="1:9" ht="18.75" customHeight="1" x14ac:dyDescent="0.3">
      <c r="A25" s="20" t="s">
        <v>214</v>
      </c>
      <c r="B25" s="14" t="s">
        <v>120</v>
      </c>
      <c r="C25" s="14" t="s">
        <v>215</v>
      </c>
      <c r="D25" s="21" t="s">
        <v>122</v>
      </c>
      <c r="E25" s="22" t="s">
        <v>210</v>
      </c>
      <c r="F25" s="18" t="s">
        <v>57</v>
      </c>
      <c r="G25" s="35" t="s">
        <v>476</v>
      </c>
      <c r="H25" s="18"/>
      <c r="I25" s="22" t="s">
        <v>216</v>
      </c>
    </row>
    <row r="26" spans="1:9" ht="18.75" customHeight="1" x14ac:dyDescent="0.3">
      <c r="A26" s="20"/>
      <c r="B26" s="14" t="s">
        <v>125</v>
      </c>
      <c r="C26" s="14" t="s">
        <v>138</v>
      </c>
      <c r="D26" s="21"/>
      <c r="E26" s="22"/>
      <c r="F26" s="18"/>
      <c r="G26" s="19"/>
      <c r="H26" s="18"/>
      <c r="I26" s="22"/>
    </row>
    <row r="27" spans="1:9" ht="18.75" customHeight="1" x14ac:dyDescent="0.3">
      <c r="A27" s="20"/>
      <c r="B27" s="14" t="s">
        <v>127</v>
      </c>
      <c r="C27" s="14" t="s">
        <v>139</v>
      </c>
      <c r="D27" s="21"/>
      <c r="E27" s="22"/>
      <c r="F27" s="18"/>
      <c r="G27" s="19"/>
      <c r="H27" s="18"/>
      <c r="I27" s="22"/>
    </row>
    <row r="28" spans="1:9" ht="18.75" customHeight="1" x14ac:dyDescent="0.3">
      <c r="A28" s="20"/>
      <c r="B28" s="14" t="s">
        <v>129</v>
      </c>
      <c r="C28" s="14" t="s">
        <v>217</v>
      </c>
      <c r="D28" s="21"/>
      <c r="E28" s="22"/>
      <c r="F28" s="18"/>
      <c r="G28" s="19"/>
      <c r="H28" s="18"/>
      <c r="I28" s="22"/>
    </row>
    <row r="29" spans="1:9" ht="18.75" customHeight="1" x14ac:dyDescent="0.3">
      <c r="A29" s="20"/>
      <c r="B29" s="14" t="s">
        <v>131</v>
      </c>
      <c r="C29" s="14" t="s">
        <v>141</v>
      </c>
      <c r="D29" s="21"/>
      <c r="E29" s="22"/>
      <c r="F29" s="18"/>
      <c r="G29" s="19"/>
      <c r="H29" s="18"/>
      <c r="I29" s="22"/>
    </row>
    <row r="30" spans="1:9" ht="18.75" customHeight="1" x14ac:dyDescent="0.3">
      <c r="A30" s="20"/>
      <c r="B30" s="14" t="s">
        <v>133</v>
      </c>
      <c r="C30" s="14" t="s">
        <v>213</v>
      </c>
      <c r="D30" s="21"/>
      <c r="E30" s="22"/>
      <c r="F30" s="18"/>
      <c r="G30" s="19"/>
      <c r="H30" s="18"/>
      <c r="I30" s="22"/>
    </row>
    <row r="31" spans="1:9" ht="18.75" customHeight="1" x14ac:dyDescent="0.3">
      <c r="A31" s="15" t="s">
        <v>218</v>
      </c>
      <c r="B31" s="13" t="s">
        <v>120</v>
      </c>
      <c r="C31" s="13" t="s">
        <v>121</v>
      </c>
      <c r="D31" s="16" t="s">
        <v>122</v>
      </c>
      <c r="E31" s="17" t="s">
        <v>210</v>
      </c>
      <c r="F31" s="18" t="s">
        <v>57</v>
      </c>
      <c r="G31" s="35" t="s">
        <v>476</v>
      </c>
      <c r="H31" s="18"/>
      <c r="I31" s="17" t="s">
        <v>219</v>
      </c>
    </row>
    <row r="32" spans="1:9" ht="18.75" customHeight="1" x14ac:dyDescent="0.3">
      <c r="A32" s="15"/>
      <c r="B32" s="13" t="s">
        <v>125</v>
      </c>
      <c r="C32" s="13" t="s">
        <v>126</v>
      </c>
      <c r="D32" s="16"/>
      <c r="E32" s="17"/>
      <c r="F32" s="18"/>
      <c r="G32" s="19"/>
      <c r="H32" s="18"/>
      <c r="I32" s="17"/>
    </row>
    <row r="33" spans="1:9" ht="18.75" customHeight="1" x14ac:dyDescent="0.3">
      <c r="A33" s="15"/>
      <c r="B33" s="13" t="s">
        <v>127</v>
      </c>
      <c r="C33" s="13" t="s">
        <v>212</v>
      </c>
      <c r="D33" s="16"/>
      <c r="E33" s="17"/>
      <c r="F33" s="18"/>
      <c r="G33" s="19"/>
      <c r="H33" s="18"/>
      <c r="I33" s="17"/>
    </row>
    <row r="34" spans="1:9" ht="18.75" customHeight="1" x14ac:dyDescent="0.3">
      <c r="A34" s="15"/>
      <c r="B34" s="13" t="s">
        <v>129</v>
      </c>
      <c r="C34" s="13" t="s">
        <v>130</v>
      </c>
      <c r="D34" s="16"/>
      <c r="E34" s="17"/>
      <c r="F34" s="18"/>
      <c r="G34" s="19"/>
      <c r="H34" s="18"/>
      <c r="I34" s="17"/>
    </row>
    <row r="35" spans="1:9" ht="18.75" customHeight="1" x14ac:dyDescent="0.3">
      <c r="A35" s="15"/>
      <c r="B35" s="13" t="s">
        <v>131</v>
      </c>
      <c r="C35" s="13" t="s">
        <v>132</v>
      </c>
      <c r="D35" s="16"/>
      <c r="E35" s="17"/>
      <c r="F35" s="18"/>
      <c r="G35" s="19"/>
      <c r="H35" s="18"/>
      <c r="I35" s="17"/>
    </row>
    <row r="36" spans="1:9" ht="18.75" customHeight="1" x14ac:dyDescent="0.3">
      <c r="A36" s="15"/>
      <c r="B36" s="13" t="s">
        <v>133</v>
      </c>
      <c r="C36" s="13" t="s">
        <v>220</v>
      </c>
      <c r="D36" s="16"/>
      <c r="E36" s="17"/>
      <c r="F36" s="18"/>
      <c r="G36" s="19"/>
      <c r="H36" s="18"/>
      <c r="I36" s="17"/>
    </row>
    <row r="37" spans="1:9" ht="18.75" customHeight="1" x14ac:dyDescent="0.3">
      <c r="A37" s="20" t="s">
        <v>221</v>
      </c>
      <c r="B37" s="14" t="s">
        <v>120</v>
      </c>
      <c r="C37" s="14" t="s">
        <v>222</v>
      </c>
      <c r="D37" s="21" t="s">
        <v>160</v>
      </c>
      <c r="E37" s="22" t="s">
        <v>223</v>
      </c>
      <c r="F37" s="18" t="s">
        <v>57</v>
      </c>
      <c r="G37" s="35" t="s">
        <v>476</v>
      </c>
      <c r="H37" s="18"/>
      <c r="I37" s="22" t="s">
        <v>224</v>
      </c>
    </row>
    <row r="38" spans="1:9" ht="18.75" customHeight="1" x14ac:dyDescent="0.3">
      <c r="A38" s="20"/>
      <c r="B38" s="14" t="s">
        <v>125</v>
      </c>
      <c r="C38" s="14" t="s">
        <v>225</v>
      </c>
      <c r="D38" s="21"/>
      <c r="E38" s="22"/>
      <c r="F38" s="18"/>
      <c r="G38" s="19"/>
      <c r="H38" s="18"/>
      <c r="I38" s="22"/>
    </row>
    <row r="39" spans="1:9" ht="18.75" customHeight="1" x14ac:dyDescent="0.3">
      <c r="A39" s="20"/>
      <c r="B39" s="14" t="s">
        <v>127</v>
      </c>
      <c r="C39" s="14" t="s">
        <v>212</v>
      </c>
      <c r="D39" s="21"/>
      <c r="E39" s="22"/>
      <c r="F39" s="18"/>
      <c r="G39" s="19"/>
      <c r="H39" s="18"/>
      <c r="I39" s="22"/>
    </row>
    <row r="40" spans="1:9" ht="18.75" customHeight="1" x14ac:dyDescent="0.3">
      <c r="A40" s="20"/>
      <c r="B40" s="14" t="s">
        <v>129</v>
      </c>
      <c r="C40" s="14" t="s">
        <v>226</v>
      </c>
      <c r="D40" s="21"/>
      <c r="E40" s="22"/>
      <c r="F40" s="18"/>
      <c r="G40" s="19"/>
      <c r="H40" s="18"/>
      <c r="I40" s="22"/>
    </row>
    <row r="41" spans="1:9" ht="18.75" customHeight="1" x14ac:dyDescent="0.3">
      <c r="A41" s="20"/>
      <c r="B41" s="14" t="s">
        <v>131</v>
      </c>
      <c r="C41" s="14" t="s">
        <v>132</v>
      </c>
      <c r="D41" s="21"/>
      <c r="E41" s="22"/>
      <c r="F41" s="18"/>
      <c r="G41" s="19"/>
      <c r="H41" s="18"/>
      <c r="I41" s="22"/>
    </row>
    <row r="42" spans="1:9" ht="18.75" customHeight="1" x14ac:dyDescent="0.3">
      <c r="A42" s="20"/>
      <c r="B42" s="14" t="s">
        <v>133</v>
      </c>
      <c r="C42" s="14" t="s">
        <v>213</v>
      </c>
      <c r="D42" s="21"/>
      <c r="E42" s="22"/>
      <c r="F42" s="18"/>
      <c r="G42" s="19"/>
      <c r="H42" s="18"/>
      <c r="I42" s="22"/>
    </row>
    <row r="43" spans="1:9" ht="18.75" customHeight="1" x14ac:dyDescent="0.3">
      <c r="A43" s="15" t="s">
        <v>227</v>
      </c>
      <c r="B43" s="13" t="s">
        <v>120</v>
      </c>
      <c r="C43" s="13" t="s">
        <v>159</v>
      </c>
      <c r="D43" s="16" t="s">
        <v>160</v>
      </c>
      <c r="E43" s="17" t="s">
        <v>228</v>
      </c>
      <c r="F43" s="18" t="s">
        <v>57</v>
      </c>
      <c r="G43" s="35" t="s">
        <v>476</v>
      </c>
      <c r="H43" s="18"/>
      <c r="I43" s="17" t="s">
        <v>229</v>
      </c>
    </row>
    <row r="44" spans="1:9" ht="18.75" customHeight="1" x14ac:dyDescent="0.3">
      <c r="A44" s="15"/>
      <c r="B44" s="13" t="s">
        <v>125</v>
      </c>
      <c r="C44" s="13" t="s">
        <v>126</v>
      </c>
      <c r="D44" s="16"/>
      <c r="E44" s="17"/>
      <c r="F44" s="18"/>
      <c r="G44" s="19"/>
      <c r="H44" s="18"/>
      <c r="I44" s="17"/>
    </row>
    <row r="45" spans="1:9" ht="18.75" customHeight="1" x14ac:dyDescent="0.3">
      <c r="A45" s="15"/>
      <c r="B45" s="13" t="s">
        <v>127</v>
      </c>
      <c r="C45" s="13" t="s">
        <v>212</v>
      </c>
      <c r="D45" s="16"/>
      <c r="E45" s="17"/>
      <c r="F45" s="18"/>
      <c r="G45" s="19"/>
      <c r="H45" s="18"/>
      <c r="I45" s="17"/>
    </row>
    <row r="46" spans="1:9" ht="18.75" customHeight="1" x14ac:dyDescent="0.3">
      <c r="A46" s="15"/>
      <c r="B46" s="13" t="s">
        <v>129</v>
      </c>
      <c r="C46" s="13" t="s">
        <v>130</v>
      </c>
      <c r="D46" s="16"/>
      <c r="E46" s="17"/>
      <c r="F46" s="18"/>
      <c r="G46" s="19"/>
      <c r="H46" s="18"/>
      <c r="I46" s="17"/>
    </row>
    <row r="47" spans="1:9" ht="18.75" customHeight="1" x14ac:dyDescent="0.3">
      <c r="A47" s="15"/>
      <c r="B47" s="13" t="s">
        <v>131</v>
      </c>
      <c r="C47" s="13" t="s">
        <v>132</v>
      </c>
      <c r="D47" s="16"/>
      <c r="E47" s="17"/>
      <c r="F47" s="18"/>
      <c r="G47" s="19"/>
      <c r="H47" s="18"/>
      <c r="I47" s="17"/>
    </row>
    <row r="48" spans="1:9" ht="18.75" customHeight="1" x14ac:dyDescent="0.3">
      <c r="A48" s="15"/>
      <c r="B48" s="13" t="s">
        <v>133</v>
      </c>
      <c r="C48" s="13" t="s">
        <v>213</v>
      </c>
      <c r="D48" s="16"/>
      <c r="E48" s="17"/>
      <c r="F48" s="18"/>
      <c r="G48" s="19"/>
      <c r="H48" s="18"/>
      <c r="I48" s="17"/>
    </row>
    <row r="49" spans="1:9" ht="18.75" customHeight="1" x14ac:dyDescent="0.3">
      <c r="A49" s="20" t="s">
        <v>230</v>
      </c>
      <c r="B49" s="14" t="s">
        <v>120</v>
      </c>
      <c r="C49" s="14" t="s">
        <v>121</v>
      </c>
      <c r="D49" s="21" t="s">
        <v>160</v>
      </c>
      <c r="E49" s="22" t="s">
        <v>231</v>
      </c>
      <c r="F49" s="18" t="s">
        <v>57</v>
      </c>
      <c r="G49" s="35" t="s">
        <v>476</v>
      </c>
      <c r="H49" s="18"/>
      <c r="I49" s="22" t="s">
        <v>232</v>
      </c>
    </row>
    <row r="50" spans="1:9" ht="18.75" customHeight="1" x14ac:dyDescent="0.3">
      <c r="A50" s="20"/>
      <c r="B50" s="14" t="s">
        <v>125</v>
      </c>
      <c r="C50" s="14" t="s">
        <v>126</v>
      </c>
      <c r="D50" s="21"/>
      <c r="E50" s="22"/>
      <c r="F50" s="18"/>
      <c r="G50" s="19"/>
      <c r="H50" s="18"/>
      <c r="I50" s="22"/>
    </row>
    <row r="51" spans="1:9" ht="18.75" customHeight="1" x14ac:dyDescent="0.3">
      <c r="A51" s="20"/>
      <c r="B51" s="14" t="s">
        <v>127</v>
      </c>
      <c r="C51" s="14" t="s">
        <v>212</v>
      </c>
      <c r="D51" s="21"/>
      <c r="E51" s="22"/>
      <c r="F51" s="18"/>
      <c r="G51" s="19"/>
      <c r="H51" s="18"/>
      <c r="I51" s="22"/>
    </row>
    <row r="52" spans="1:9" ht="18.75" customHeight="1" x14ac:dyDescent="0.3">
      <c r="A52" s="20"/>
      <c r="B52" s="14" t="s">
        <v>129</v>
      </c>
      <c r="C52" s="14" t="s">
        <v>159</v>
      </c>
      <c r="D52" s="21"/>
      <c r="E52" s="22"/>
      <c r="F52" s="18"/>
      <c r="G52" s="19"/>
      <c r="H52" s="18"/>
      <c r="I52" s="22"/>
    </row>
    <row r="53" spans="1:9" ht="18.75" customHeight="1" x14ac:dyDescent="0.3">
      <c r="A53" s="20"/>
      <c r="B53" s="14" t="s">
        <v>131</v>
      </c>
      <c r="C53" s="14" t="s">
        <v>132</v>
      </c>
      <c r="D53" s="21"/>
      <c r="E53" s="22"/>
      <c r="F53" s="18"/>
      <c r="G53" s="19"/>
      <c r="H53" s="18"/>
      <c r="I53" s="22"/>
    </row>
    <row r="54" spans="1:9" ht="18.75" customHeight="1" x14ac:dyDescent="0.3">
      <c r="A54" s="20"/>
      <c r="B54" s="14" t="s">
        <v>133</v>
      </c>
      <c r="C54" s="14" t="s">
        <v>213</v>
      </c>
      <c r="D54" s="21"/>
      <c r="E54" s="22"/>
      <c r="F54" s="18"/>
      <c r="G54" s="19"/>
      <c r="H54" s="18"/>
      <c r="I54" s="22"/>
    </row>
    <row r="55" spans="1:9" ht="18.75" customHeight="1" x14ac:dyDescent="0.3">
      <c r="A55" s="15" t="s">
        <v>233</v>
      </c>
      <c r="B55" s="13" t="s">
        <v>120</v>
      </c>
      <c r="C55" s="13" t="s">
        <v>159</v>
      </c>
      <c r="D55" s="16" t="s">
        <v>160</v>
      </c>
      <c r="E55" s="17" t="s">
        <v>234</v>
      </c>
      <c r="F55" s="18" t="s">
        <v>57</v>
      </c>
      <c r="G55" s="35" t="s">
        <v>476</v>
      </c>
      <c r="H55" s="18"/>
      <c r="I55" s="17" t="s">
        <v>235</v>
      </c>
    </row>
    <row r="56" spans="1:9" ht="18.75" customHeight="1" x14ac:dyDescent="0.3">
      <c r="A56" s="15"/>
      <c r="B56" s="13" t="s">
        <v>125</v>
      </c>
      <c r="C56" s="13" t="s">
        <v>159</v>
      </c>
      <c r="D56" s="16"/>
      <c r="E56" s="17"/>
      <c r="F56" s="18"/>
      <c r="G56" s="19"/>
      <c r="H56" s="18"/>
      <c r="I56" s="17"/>
    </row>
    <row r="57" spans="1:9" ht="18.75" customHeight="1" x14ac:dyDescent="0.3">
      <c r="A57" s="15"/>
      <c r="B57" s="13" t="s">
        <v>127</v>
      </c>
      <c r="C57" s="13" t="s">
        <v>159</v>
      </c>
      <c r="D57" s="16"/>
      <c r="E57" s="17"/>
      <c r="F57" s="18"/>
      <c r="G57" s="19"/>
      <c r="H57" s="18"/>
      <c r="I57" s="17"/>
    </row>
    <row r="58" spans="1:9" ht="18.75" customHeight="1" x14ac:dyDescent="0.3">
      <c r="A58" s="15"/>
      <c r="B58" s="13" t="s">
        <v>129</v>
      </c>
      <c r="C58" s="13" t="s">
        <v>159</v>
      </c>
      <c r="D58" s="16"/>
      <c r="E58" s="17"/>
      <c r="F58" s="18"/>
      <c r="G58" s="19"/>
      <c r="H58" s="18"/>
      <c r="I58" s="17"/>
    </row>
    <row r="59" spans="1:9" ht="18.75" customHeight="1" x14ac:dyDescent="0.3">
      <c r="A59" s="15"/>
      <c r="B59" s="13" t="s">
        <v>131</v>
      </c>
      <c r="C59" s="13" t="s">
        <v>132</v>
      </c>
      <c r="D59" s="16"/>
      <c r="E59" s="17"/>
      <c r="F59" s="18"/>
      <c r="G59" s="19"/>
      <c r="H59" s="18"/>
      <c r="I59" s="17"/>
    </row>
    <row r="60" spans="1:9" ht="18.75" customHeight="1" x14ac:dyDescent="0.3">
      <c r="A60" s="15"/>
      <c r="B60" s="13" t="s">
        <v>133</v>
      </c>
      <c r="C60" s="13" t="s">
        <v>213</v>
      </c>
      <c r="D60" s="16"/>
      <c r="E60" s="17"/>
      <c r="F60" s="18"/>
      <c r="G60" s="19"/>
      <c r="H60" s="18"/>
      <c r="I60" s="17"/>
    </row>
    <row r="61" spans="1:9" ht="18.75" customHeight="1" x14ac:dyDescent="0.3">
      <c r="A61" s="20" t="s">
        <v>236</v>
      </c>
      <c r="B61" s="14" t="s">
        <v>120</v>
      </c>
      <c r="C61" s="14" t="s">
        <v>121</v>
      </c>
      <c r="D61" s="21" t="s">
        <v>160</v>
      </c>
      <c r="E61" s="22" t="s">
        <v>237</v>
      </c>
      <c r="F61" s="18" t="s">
        <v>57</v>
      </c>
      <c r="G61" s="35" t="s">
        <v>476</v>
      </c>
      <c r="H61" s="18"/>
      <c r="I61" s="22" t="s">
        <v>238</v>
      </c>
    </row>
    <row r="62" spans="1:9" ht="18.75" customHeight="1" x14ac:dyDescent="0.3">
      <c r="A62" s="20"/>
      <c r="B62" s="14" t="s">
        <v>125</v>
      </c>
      <c r="C62" s="14" t="s">
        <v>239</v>
      </c>
      <c r="D62" s="21"/>
      <c r="E62" s="22"/>
      <c r="F62" s="18"/>
      <c r="G62" s="19"/>
      <c r="H62" s="18"/>
      <c r="I62" s="22"/>
    </row>
    <row r="63" spans="1:9" ht="18.75" customHeight="1" x14ac:dyDescent="0.3">
      <c r="A63" s="20"/>
      <c r="B63" s="14" t="s">
        <v>127</v>
      </c>
      <c r="C63" s="14" t="s">
        <v>212</v>
      </c>
      <c r="D63" s="21"/>
      <c r="E63" s="22"/>
      <c r="F63" s="18"/>
      <c r="G63" s="19"/>
      <c r="H63" s="18"/>
      <c r="I63" s="22"/>
    </row>
    <row r="64" spans="1:9" ht="18.75" customHeight="1" x14ac:dyDescent="0.3">
      <c r="A64" s="20"/>
      <c r="B64" s="14" t="s">
        <v>129</v>
      </c>
      <c r="C64" s="14" t="s">
        <v>130</v>
      </c>
      <c r="D64" s="21"/>
      <c r="E64" s="22"/>
      <c r="F64" s="18"/>
      <c r="G64" s="19"/>
      <c r="H64" s="18"/>
      <c r="I64" s="22"/>
    </row>
    <row r="65" spans="1:9" ht="18.75" customHeight="1" x14ac:dyDescent="0.3">
      <c r="A65" s="20"/>
      <c r="B65" s="14" t="s">
        <v>131</v>
      </c>
      <c r="C65" s="14" t="s">
        <v>132</v>
      </c>
      <c r="D65" s="21"/>
      <c r="E65" s="22"/>
      <c r="F65" s="18"/>
      <c r="G65" s="19"/>
      <c r="H65" s="18"/>
      <c r="I65" s="22"/>
    </row>
    <row r="66" spans="1:9" ht="18.75" customHeight="1" x14ac:dyDescent="0.3">
      <c r="A66" s="20"/>
      <c r="B66" s="14" t="s">
        <v>133</v>
      </c>
      <c r="C66" s="14" t="s">
        <v>213</v>
      </c>
      <c r="D66" s="21"/>
      <c r="E66" s="22"/>
      <c r="F66" s="18"/>
      <c r="G66" s="19"/>
      <c r="H66" s="18"/>
      <c r="I66" s="22"/>
    </row>
    <row r="67" spans="1:9" ht="18.75" customHeight="1" x14ac:dyDescent="0.3">
      <c r="A67" s="15" t="s">
        <v>240</v>
      </c>
      <c r="B67" s="13" t="s">
        <v>120</v>
      </c>
      <c r="C67" s="13" t="s">
        <v>241</v>
      </c>
      <c r="D67" s="16" t="s">
        <v>160</v>
      </c>
      <c r="E67" s="17" t="s">
        <v>242</v>
      </c>
      <c r="F67" s="18" t="s">
        <v>57</v>
      </c>
      <c r="G67" s="35" t="s">
        <v>476</v>
      </c>
      <c r="H67" s="18"/>
      <c r="I67" s="17" t="s">
        <v>243</v>
      </c>
    </row>
    <row r="68" spans="1:9" ht="18.75" customHeight="1" x14ac:dyDescent="0.3">
      <c r="A68" s="15"/>
      <c r="B68" s="13" t="s">
        <v>125</v>
      </c>
      <c r="C68" s="13" t="s">
        <v>244</v>
      </c>
      <c r="D68" s="16"/>
      <c r="E68" s="17"/>
      <c r="F68" s="18"/>
      <c r="G68" s="19"/>
      <c r="H68" s="18"/>
      <c r="I68" s="17"/>
    </row>
    <row r="69" spans="1:9" ht="18.75" customHeight="1" x14ac:dyDescent="0.3">
      <c r="A69" s="15"/>
      <c r="B69" s="13" t="s">
        <v>127</v>
      </c>
      <c r="C69" s="13" t="s">
        <v>245</v>
      </c>
      <c r="D69" s="16"/>
      <c r="E69" s="17"/>
      <c r="F69" s="18"/>
      <c r="G69" s="19"/>
      <c r="H69" s="18"/>
      <c r="I69" s="17"/>
    </row>
    <row r="70" spans="1:9" ht="18.75" customHeight="1" x14ac:dyDescent="0.3">
      <c r="A70" s="15"/>
      <c r="B70" s="13" t="s">
        <v>129</v>
      </c>
      <c r="C70" s="13" t="s">
        <v>246</v>
      </c>
      <c r="D70" s="16"/>
      <c r="E70" s="17"/>
      <c r="F70" s="18"/>
      <c r="G70" s="19"/>
      <c r="H70" s="18"/>
      <c r="I70" s="17"/>
    </row>
    <row r="71" spans="1:9" ht="18.75" customHeight="1" x14ac:dyDescent="0.3">
      <c r="A71" s="15"/>
      <c r="B71" s="13" t="s">
        <v>131</v>
      </c>
      <c r="C71" s="13" t="s">
        <v>141</v>
      </c>
      <c r="D71" s="16"/>
      <c r="E71" s="17"/>
      <c r="F71" s="18"/>
      <c r="G71" s="19"/>
      <c r="H71" s="18"/>
      <c r="I71" s="17"/>
    </row>
    <row r="72" spans="1:9" ht="18.75" customHeight="1" x14ac:dyDescent="0.3">
      <c r="A72" s="15"/>
      <c r="B72" s="13" t="s">
        <v>133</v>
      </c>
      <c r="C72" s="13" t="s">
        <v>213</v>
      </c>
      <c r="D72" s="16"/>
      <c r="E72" s="17"/>
      <c r="F72" s="18"/>
      <c r="G72" s="19"/>
      <c r="H72" s="18"/>
      <c r="I72" s="17"/>
    </row>
  </sheetData>
  <mergeCells count="92">
    <mergeCell ref="A1:I1"/>
    <mergeCell ref="A2:I2"/>
    <mergeCell ref="A4:C4"/>
    <mergeCell ref="E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A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A17:I17"/>
    <mergeCell ref="H19:H24"/>
    <mergeCell ref="I19:I24"/>
    <mergeCell ref="A25:A30"/>
    <mergeCell ref="D25:D30"/>
    <mergeCell ref="E25:E30"/>
    <mergeCell ref="F25:F30"/>
    <mergeCell ref="G25:G30"/>
    <mergeCell ref="H25:H30"/>
    <mergeCell ref="I25:I30"/>
    <mergeCell ref="A19:A24"/>
    <mergeCell ref="D19:D24"/>
    <mergeCell ref="E19:E24"/>
    <mergeCell ref="F19:F24"/>
    <mergeCell ref="G19:G24"/>
    <mergeCell ref="H31:H36"/>
    <mergeCell ref="I31:I36"/>
    <mergeCell ref="A37:A42"/>
    <mergeCell ref="D37:D42"/>
    <mergeCell ref="E37:E42"/>
    <mergeCell ref="F37:F42"/>
    <mergeCell ref="G37:G42"/>
    <mergeCell ref="H37:H42"/>
    <mergeCell ref="I37:I42"/>
    <mergeCell ref="A31:A36"/>
    <mergeCell ref="D31:D36"/>
    <mergeCell ref="E31:E36"/>
    <mergeCell ref="F31:F36"/>
    <mergeCell ref="G31:G36"/>
    <mergeCell ref="H43:H48"/>
    <mergeCell ref="I43:I48"/>
    <mergeCell ref="A49:A54"/>
    <mergeCell ref="D49:D54"/>
    <mergeCell ref="E49:E54"/>
    <mergeCell ref="F49:F54"/>
    <mergeCell ref="G49:G54"/>
    <mergeCell ref="H49:H54"/>
    <mergeCell ref="I49:I54"/>
    <mergeCell ref="A43:A48"/>
    <mergeCell ref="D43:D48"/>
    <mergeCell ref="E43:E48"/>
    <mergeCell ref="F43:F48"/>
    <mergeCell ref="G43:G48"/>
    <mergeCell ref="H55:H60"/>
    <mergeCell ref="I55:I60"/>
    <mergeCell ref="A61:A66"/>
    <mergeCell ref="D61:D66"/>
    <mergeCell ref="E61:E66"/>
    <mergeCell ref="F61:F66"/>
    <mergeCell ref="G61:G66"/>
    <mergeCell ref="H61:H66"/>
    <mergeCell ref="I61:I66"/>
    <mergeCell ref="A55:A60"/>
    <mergeCell ref="D55:D60"/>
    <mergeCell ref="E55:E60"/>
    <mergeCell ref="F55:F60"/>
    <mergeCell ref="G55:G60"/>
    <mergeCell ref="H67:H72"/>
    <mergeCell ref="I67:I72"/>
    <mergeCell ref="A67:A72"/>
    <mergeCell ref="D67:D72"/>
    <mergeCell ref="E67:E72"/>
    <mergeCell ref="F67:F72"/>
    <mergeCell ref="G67:G72"/>
  </mergeCells>
  <conditionalFormatting sqref="F19:F72">
    <cfRule type="cellIs" dxfId="15" priority="2" operator="equal">
      <formula>"OK"</formula>
    </cfRule>
    <cfRule type="cellIs" dxfId="14" priority="3" operator="equal">
      <formula>"NOK"</formula>
    </cfRule>
  </conditionalFormatting>
  <dataValidations count="4">
    <dataValidation type="list" allowBlank="1" sqref="B10" xr:uid="{00000000-0002-0000-0300-000000000000}">
      <formula1>"Unitaria,Integración,Funcional,Aceptación,Regresión,No funcional"</formula1>
      <formula2>0</formula2>
    </dataValidation>
    <dataValidation type="list" allowBlank="1" sqref="D19:D72" xr:uid="{00000000-0002-0000-0300-000001000000}">
      <formula1>"Positivo (+),Negativo (-)"</formula1>
      <formula2>0</formula2>
    </dataValidation>
    <dataValidation type="list" allowBlank="1" sqref="F19:F72" xr:uid="{00000000-0002-0000-0300-000002000000}">
      <formula1>"OK,NOK"</formula1>
      <formula2>0</formula2>
    </dataValidation>
    <dataValidation type="list" allowBlank="1" sqref="H19:H72" xr:uid="{00000000-0002-0000-0300-000003000000}">
      <formula1>"Baja,Media,Alta"</formula1>
      <formula2>0</formula2>
    </dataValidation>
  </dataValidations>
  <hyperlinks>
    <hyperlink ref="G19" r:id="rId1" xr:uid="{DAF275C3-7EF6-4A5E-841D-8C830C6784E2}"/>
    <hyperlink ref="G25" r:id="rId2" xr:uid="{C860CCB4-80CA-40A0-9A9C-A17E0F73C662}"/>
    <hyperlink ref="G31" r:id="rId3" xr:uid="{7776F17A-74E0-42FC-9420-6ACCA4DDA134}"/>
    <hyperlink ref="G37" r:id="rId4" xr:uid="{2ABEBEA9-82BC-42D1-9B2D-BDE0652A7170}"/>
    <hyperlink ref="G43" r:id="rId5" xr:uid="{54F94669-9C89-456A-8523-002824169910}"/>
    <hyperlink ref="G49" r:id="rId6" xr:uid="{71739D65-B3C8-4B75-A339-8890D83D7C2B}"/>
    <hyperlink ref="G55" r:id="rId7" xr:uid="{24DA2928-531A-44FE-99C6-CE9413BFE609}"/>
    <hyperlink ref="G61" r:id="rId8" xr:uid="{B9466D22-AFD8-4DEC-A08C-1BC622FF1F38}"/>
    <hyperlink ref="G67" r:id="rId9" xr:uid="{140C7705-A93B-40C1-864B-D5E4E48346F6}"/>
  </hyperlinks>
  <pageMargins left="0.75" right="0.75" top="1" bottom="1" header="0.511811023622047" footer="0.511811023622047"/>
  <pageSetup fitToHeight="0" orientation="landscape" horizontalDpi="300" verticalDpi="300"/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2"/>
  <sheetViews>
    <sheetView showGridLines="0" zoomScale="60" zoomScaleNormal="100" workbookViewId="0">
      <pane xSplit="1" ySplit="18" topLeftCell="C24" activePane="bottomRight" state="frozen"/>
      <selection pane="topRight" activeCell="B1" sqref="B1"/>
      <selection pane="bottomLeft" activeCell="A19" sqref="A19"/>
      <selection pane="bottomRight" activeCell="L28" sqref="L28"/>
    </sheetView>
  </sheetViews>
  <sheetFormatPr baseColWidth="10" defaultColWidth="8.6640625" defaultRowHeight="14.4" x14ac:dyDescent="0.3"/>
  <cols>
    <col min="1" max="1" width="34" customWidth="1"/>
    <col min="2" max="2" width="22" customWidth="1"/>
    <col min="3" max="3" width="40" customWidth="1"/>
    <col min="4" max="4" width="14" customWidth="1"/>
    <col min="5" max="5" width="52" customWidth="1"/>
    <col min="6" max="6" width="16" customWidth="1"/>
    <col min="7" max="7" width="36" customWidth="1"/>
    <col min="8" max="8" width="16" customWidth="1"/>
    <col min="9" max="9" width="46" customWidth="1"/>
  </cols>
  <sheetData>
    <row r="1" spans="1:9" ht="33.75" customHeight="1" x14ac:dyDescent="0.3">
      <c r="A1" s="31" t="s">
        <v>247</v>
      </c>
      <c r="B1" s="31"/>
      <c r="C1" s="31"/>
      <c r="D1" s="31"/>
      <c r="E1" s="31"/>
      <c r="F1" s="31"/>
      <c r="G1" s="31"/>
      <c r="H1" s="31"/>
      <c r="I1" s="31"/>
    </row>
    <row r="2" spans="1:9" ht="15" customHeight="1" x14ac:dyDescent="0.3">
      <c r="A2" s="32" t="s">
        <v>82</v>
      </c>
      <c r="B2" s="32"/>
      <c r="C2" s="32"/>
      <c r="D2" s="32"/>
      <c r="E2" s="32"/>
      <c r="F2" s="32"/>
      <c r="G2" s="32"/>
      <c r="H2" s="32"/>
      <c r="I2" s="32"/>
    </row>
    <row r="4" spans="1:9" ht="15" customHeight="1" x14ac:dyDescent="0.3">
      <c r="A4" s="33" t="s">
        <v>83</v>
      </c>
      <c r="B4" s="33"/>
      <c r="C4" s="33"/>
      <c r="E4" s="33" t="s">
        <v>84</v>
      </c>
      <c r="F4" s="33"/>
      <c r="G4" s="33"/>
    </row>
    <row r="5" spans="1:9" ht="15" customHeight="1" x14ac:dyDescent="0.3">
      <c r="A5" s="2" t="s">
        <v>85</v>
      </c>
      <c r="B5" s="28" t="s">
        <v>86</v>
      </c>
      <c r="C5" s="28"/>
      <c r="E5" s="10" t="s">
        <v>87</v>
      </c>
      <c r="F5" s="24">
        <f>COUNTA(A19:A32)</f>
        <v>7</v>
      </c>
      <c r="G5" s="24"/>
    </row>
    <row r="6" spans="1:9" ht="15" customHeight="1" x14ac:dyDescent="0.3">
      <c r="A6" s="2" t="s">
        <v>88</v>
      </c>
      <c r="B6" s="28" t="s">
        <v>248</v>
      </c>
      <c r="C6" s="28"/>
      <c r="E6" s="10" t="s">
        <v>90</v>
      </c>
      <c r="F6" s="24">
        <f>COUNTIF(F19:F32,"OK")+COUNTIF(F19:F32,"NOK")</f>
        <v>7</v>
      </c>
      <c r="G6" s="24"/>
    </row>
    <row r="7" spans="1:9" ht="15" customHeight="1" x14ac:dyDescent="0.3">
      <c r="A7" s="2" t="s">
        <v>91</v>
      </c>
      <c r="B7" s="28" t="s">
        <v>92</v>
      </c>
      <c r="C7" s="28"/>
      <c r="E7" s="10" t="s">
        <v>93</v>
      </c>
      <c r="F7" s="24">
        <f>COUNTIF(F19:F32,"OK")</f>
        <v>7</v>
      </c>
      <c r="G7" s="24"/>
    </row>
    <row r="8" spans="1:9" ht="15" customHeight="1" x14ac:dyDescent="0.3">
      <c r="A8" s="2" t="s">
        <v>94</v>
      </c>
      <c r="B8" s="28"/>
      <c r="C8" s="28"/>
      <c r="E8" s="10" t="s">
        <v>95</v>
      </c>
      <c r="F8" s="24">
        <f>COUNTIF(F19:F32,"NOK")</f>
        <v>0</v>
      </c>
      <c r="G8" s="24"/>
    </row>
    <row r="9" spans="1:9" ht="15" customHeight="1" x14ac:dyDescent="0.3">
      <c r="A9" s="2" t="s">
        <v>96</v>
      </c>
      <c r="B9" s="28"/>
      <c r="C9" s="28"/>
      <c r="E9" s="10" t="s">
        <v>97</v>
      </c>
      <c r="F9" s="29">
        <f>IF(F6=0,0,F7/F6)</f>
        <v>1</v>
      </c>
      <c r="G9" s="29"/>
    </row>
    <row r="10" spans="1:9" ht="15" customHeight="1" x14ac:dyDescent="0.3">
      <c r="A10" s="2" t="s">
        <v>98</v>
      </c>
      <c r="B10" s="28" t="s">
        <v>99</v>
      </c>
      <c r="C10" s="28"/>
      <c r="E10" s="10" t="s">
        <v>100</v>
      </c>
      <c r="F10" s="29">
        <f>IF(F6=0,0,F8/F6)</f>
        <v>0</v>
      </c>
      <c r="G10" s="29"/>
    </row>
    <row r="11" spans="1:9" ht="15" customHeight="1" x14ac:dyDescent="0.3">
      <c r="A11" s="30" t="s">
        <v>101</v>
      </c>
      <c r="B11" s="30"/>
      <c r="C11" s="30"/>
      <c r="E11" s="10" t="s">
        <v>102</v>
      </c>
      <c r="F11" s="24">
        <f>F5-F6</f>
        <v>0</v>
      </c>
      <c r="G11" s="24"/>
    </row>
    <row r="12" spans="1:9" ht="15" customHeight="1" x14ac:dyDescent="0.3">
      <c r="A12" s="2" t="s">
        <v>249</v>
      </c>
      <c r="B12" s="23">
        <f>COUNTIF(A19:A32,"*_CA1_*")</f>
        <v>3</v>
      </c>
      <c r="C12" s="23"/>
      <c r="E12" s="10" t="s">
        <v>104</v>
      </c>
      <c r="F12" s="24">
        <f>COUNTIF(D19:D32,"Positivo*")</f>
        <v>3</v>
      </c>
      <c r="G12" s="24"/>
    </row>
    <row r="13" spans="1:9" ht="15" customHeight="1" x14ac:dyDescent="0.3">
      <c r="A13" s="2" t="s">
        <v>207</v>
      </c>
      <c r="B13" s="23">
        <f>COUNTIF(A19:A32,"*_CA2_*")</f>
        <v>2</v>
      </c>
      <c r="C13" s="23"/>
      <c r="E13" s="10" t="s">
        <v>106</v>
      </c>
      <c r="F13" s="24">
        <f>COUNTIF(D19:D32,"Negativo*")</f>
        <v>4</v>
      </c>
      <c r="G13" s="24"/>
    </row>
    <row r="14" spans="1:9" ht="15" customHeight="1" x14ac:dyDescent="0.3">
      <c r="A14" s="2" t="s">
        <v>250</v>
      </c>
      <c r="B14" s="23">
        <f>COUNTIF(A19:A32,"*_CA3_*")</f>
        <v>2</v>
      </c>
      <c r="C14" s="23"/>
      <c r="E14" s="10" t="s">
        <v>108</v>
      </c>
      <c r="F14" s="24">
        <f>COUNTIF(H19:H32,"Baja")</f>
        <v>0</v>
      </c>
      <c r="G14" s="24"/>
    </row>
    <row r="15" spans="1:9" ht="15" customHeight="1" x14ac:dyDescent="0.3">
      <c r="A15" s="11" t="s">
        <v>109</v>
      </c>
      <c r="B15" s="25">
        <f>COUNTIF(A19:A32,"*_CA4_*")</f>
        <v>0</v>
      </c>
      <c r="C15" s="25"/>
      <c r="E15" s="10" t="s">
        <v>110</v>
      </c>
      <c r="F15" s="24">
        <f>COUNTIF(H19:H32,"Media")</f>
        <v>0</v>
      </c>
      <c r="G15" s="24"/>
    </row>
    <row r="16" spans="1:9" ht="15" customHeight="1" x14ac:dyDescent="0.3">
      <c r="A16" s="12" t="s">
        <v>111</v>
      </c>
      <c r="B16" s="26">
        <f>SUM(B12:B15)</f>
        <v>7</v>
      </c>
      <c r="C16" s="26"/>
      <c r="E16" s="10" t="s">
        <v>112</v>
      </c>
      <c r="F16" s="24">
        <f>COUNTIF(H19:H32,"Alta")</f>
        <v>0</v>
      </c>
      <c r="G16" s="24"/>
    </row>
    <row r="17" spans="1:9" ht="15" customHeight="1" x14ac:dyDescent="0.3">
      <c r="A17" s="27" t="s">
        <v>113</v>
      </c>
      <c r="B17" s="27"/>
      <c r="C17" s="27"/>
      <c r="D17" s="27"/>
      <c r="E17" s="27"/>
      <c r="F17" s="27"/>
      <c r="G17" s="27"/>
      <c r="H17" s="27"/>
      <c r="I17" s="27"/>
    </row>
    <row r="18" spans="1:9" ht="33.75" customHeight="1" x14ac:dyDescent="0.3">
      <c r="A18" s="4" t="s">
        <v>16</v>
      </c>
      <c r="B18" s="4" t="s">
        <v>114</v>
      </c>
      <c r="C18" s="4" t="s">
        <v>115</v>
      </c>
      <c r="D18" s="4" t="s">
        <v>20</v>
      </c>
      <c r="E18" s="4" t="s">
        <v>22</v>
      </c>
      <c r="F18" s="4" t="s">
        <v>116</v>
      </c>
      <c r="G18" s="4" t="s">
        <v>117</v>
      </c>
      <c r="H18" s="4" t="s">
        <v>118</v>
      </c>
      <c r="I18" s="4" t="s">
        <v>24</v>
      </c>
    </row>
    <row r="19" spans="1:9" ht="27.75" customHeight="1" x14ac:dyDescent="0.3">
      <c r="A19" s="15" t="s">
        <v>251</v>
      </c>
      <c r="B19" s="13" t="s">
        <v>252</v>
      </c>
      <c r="C19" s="13" t="s">
        <v>239</v>
      </c>
      <c r="D19" s="16" t="s">
        <v>122</v>
      </c>
      <c r="E19" s="17" t="s">
        <v>253</v>
      </c>
      <c r="F19" s="18" t="s">
        <v>57</v>
      </c>
      <c r="G19" s="35" t="s">
        <v>477</v>
      </c>
      <c r="H19" s="18"/>
      <c r="I19" s="17" t="s">
        <v>254</v>
      </c>
    </row>
    <row r="20" spans="1:9" ht="27.75" customHeight="1" x14ac:dyDescent="0.3">
      <c r="A20" s="15"/>
      <c r="B20" s="13" t="s">
        <v>255</v>
      </c>
      <c r="C20" s="13" t="s">
        <v>256</v>
      </c>
      <c r="D20" s="16"/>
      <c r="E20" s="17"/>
      <c r="F20" s="18"/>
      <c r="G20" s="19"/>
      <c r="H20" s="18"/>
      <c r="I20" s="17"/>
    </row>
    <row r="21" spans="1:9" ht="27.75" customHeight="1" x14ac:dyDescent="0.3">
      <c r="A21" s="20" t="s">
        <v>257</v>
      </c>
      <c r="B21" s="14" t="s">
        <v>252</v>
      </c>
      <c r="C21" s="14" t="s">
        <v>258</v>
      </c>
      <c r="D21" s="21" t="s">
        <v>122</v>
      </c>
      <c r="E21" s="22" t="s">
        <v>259</v>
      </c>
      <c r="F21" s="18" t="s">
        <v>57</v>
      </c>
      <c r="G21" s="35" t="s">
        <v>477</v>
      </c>
      <c r="H21" s="18"/>
      <c r="I21" s="22" t="s">
        <v>260</v>
      </c>
    </row>
    <row r="22" spans="1:9" ht="27.75" customHeight="1" x14ac:dyDescent="0.3">
      <c r="A22" s="20"/>
      <c r="B22" s="14" t="s">
        <v>255</v>
      </c>
      <c r="C22" s="14" t="s">
        <v>256</v>
      </c>
      <c r="D22" s="21"/>
      <c r="E22" s="22"/>
      <c r="F22" s="18"/>
      <c r="G22" s="19"/>
      <c r="H22" s="18"/>
      <c r="I22" s="22"/>
    </row>
    <row r="23" spans="1:9" ht="40.5" customHeight="1" x14ac:dyDescent="0.3">
      <c r="A23" s="15" t="s">
        <v>261</v>
      </c>
      <c r="B23" s="13" t="s">
        <v>252</v>
      </c>
      <c r="C23" s="13" t="s">
        <v>262</v>
      </c>
      <c r="D23" s="16" t="s">
        <v>122</v>
      </c>
      <c r="E23" s="17" t="s">
        <v>263</v>
      </c>
      <c r="F23" s="18" t="s">
        <v>57</v>
      </c>
      <c r="G23" s="35" t="s">
        <v>477</v>
      </c>
      <c r="H23" s="18"/>
      <c r="I23" s="17" t="s">
        <v>264</v>
      </c>
    </row>
    <row r="24" spans="1:9" ht="40.5" customHeight="1" x14ac:dyDescent="0.3">
      <c r="A24" s="15"/>
      <c r="B24" s="13" t="s">
        <v>255</v>
      </c>
      <c r="C24" s="13" t="s">
        <v>256</v>
      </c>
      <c r="D24" s="16"/>
      <c r="E24" s="17"/>
      <c r="F24" s="18"/>
      <c r="G24" s="19"/>
      <c r="H24" s="18"/>
      <c r="I24" s="17"/>
    </row>
    <row r="25" spans="1:9" ht="33.75" customHeight="1" x14ac:dyDescent="0.3">
      <c r="A25" s="20" t="s">
        <v>265</v>
      </c>
      <c r="B25" s="14" t="s">
        <v>252</v>
      </c>
      <c r="C25" s="14" t="s">
        <v>266</v>
      </c>
      <c r="D25" s="21" t="s">
        <v>160</v>
      </c>
      <c r="E25" s="22" t="s">
        <v>267</v>
      </c>
      <c r="F25" s="18" t="s">
        <v>57</v>
      </c>
      <c r="G25" s="35" t="s">
        <v>477</v>
      </c>
      <c r="H25" s="18"/>
      <c r="I25" s="22" t="s">
        <v>268</v>
      </c>
    </row>
    <row r="26" spans="1:9" ht="33.75" customHeight="1" x14ac:dyDescent="0.3">
      <c r="A26" s="20"/>
      <c r="B26" s="14" t="s">
        <v>255</v>
      </c>
      <c r="C26" s="14" t="s">
        <v>256</v>
      </c>
      <c r="D26" s="21"/>
      <c r="E26" s="22"/>
      <c r="F26" s="18"/>
      <c r="G26" s="19"/>
      <c r="H26" s="18"/>
      <c r="I26" s="22"/>
    </row>
    <row r="27" spans="1:9" ht="33.75" customHeight="1" x14ac:dyDescent="0.3">
      <c r="A27" s="15" t="s">
        <v>269</v>
      </c>
      <c r="B27" s="13" t="s">
        <v>252</v>
      </c>
      <c r="C27" s="13" t="s">
        <v>270</v>
      </c>
      <c r="D27" s="16" t="s">
        <v>160</v>
      </c>
      <c r="E27" s="17" t="s">
        <v>267</v>
      </c>
      <c r="F27" s="18" t="s">
        <v>57</v>
      </c>
      <c r="G27" s="35" t="s">
        <v>477</v>
      </c>
      <c r="H27" s="18"/>
      <c r="I27" s="17" t="s">
        <v>271</v>
      </c>
    </row>
    <row r="28" spans="1:9" ht="33.75" customHeight="1" x14ac:dyDescent="0.3">
      <c r="A28" s="15"/>
      <c r="B28" s="13" t="s">
        <v>255</v>
      </c>
      <c r="C28" s="13" t="s">
        <v>256</v>
      </c>
      <c r="D28" s="16"/>
      <c r="E28" s="17"/>
      <c r="F28" s="18"/>
      <c r="G28" s="19"/>
      <c r="H28" s="18"/>
      <c r="I28" s="17"/>
    </row>
    <row r="29" spans="1:9" ht="27.75" customHeight="1" x14ac:dyDescent="0.3">
      <c r="A29" s="20" t="s">
        <v>272</v>
      </c>
      <c r="B29" s="14" t="s">
        <v>252</v>
      </c>
      <c r="C29" s="14" t="s">
        <v>159</v>
      </c>
      <c r="D29" s="21" t="s">
        <v>160</v>
      </c>
      <c r="E29" s="22" t="s">
        <v>273</v>
      </c>
      <c r="F29" s="18" t="s">
        <v>57</v>
      </c>
      <c r="G29" s="35" t="s">
        <v>477</v>
      </c>
      <c r="H29" s="18"/>
      <c r="I29" s="22" t="s">
        <v>274</v>
      </c>
    </row>
    <row r="30" spans="1:9" ht="27.75" customHeight="1" x14ac:dyDescent="0.3">
      <c r="A30" s="20"/>
      <c r="B30" s="14" t="s">
        <v>255</v>
      </c>
      <c r="C30" s="14" t="s">
        <v>256</v>
      </c>
      <c r="D30" s="21"/>
      <c r="E30" s="22"/>
      <c r="F30" s="18"/>
      <c r="G30" s="19"/>
      <c r="H30" s="18"/>
      <c r="I30" s="22"/>
    </row>
    <row r="31" spans="1:9" ht="27.75" customHeight="1" x14ac:dyDescent="0.3">
      <c r="A31" s="15" t="s">
        <v>275</v>
      </c>
      <c r="B31" s="13" t="s">
        <v>252</v>
      </c>
      <c r="C31" s="13" t="s">
        <v>276</v>
      </c>
      <c r="D31" s="16" t="s">
        <v>160</v>
      </c>
      <c r="E31" s="17" t="s">
        <v>273</v>
      </c>
      <c r="F31" s="18" t="s">
        <v>57</v>
      </c>
      <c r="G31" s="35" t="s">
        <v>477</v>
      </c>
      <c r="H31" s="18"/>
      <c r="I31" s="17" t="s">
        <v>277</v>
      </c>
    </row>
    <row r="32" spans="1:9" ht="27.75" customHeight="1" x14ac:dyDescent="0.3">
      <c r="A32" s="15"/>
      <c r="B32" s="13" t="s">
        <v>255</v>
      </c>
      <c r="C32" s="13" t="s">
        <v>256</v>
      </c>
      <c r="D32" s="16"/>
      <c r="E32" s="17"/>
      <c r="F32" s="18"/>
      <c r="G32" s="19"/>
      <c r="H32" s="18"/>
      <c r="I32" s="17"/>
    </row>
  </sheetData>
  <mergeCells count="78">
    <mergeCell ref="A1:I1"/>
    <mergeCell ref="A2:I2"/>
    <mergeCell ref="A4:C4"/>
    <mergeCell ref="E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A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A17:I17"/>
    <mergeCell ref="H19:H20"/>
    <mergeCell ref="I19:I20"/>
    <mergeCell ref="A21:A22"/>
    <mergeCell ref="D21:D22"/>
    <mergeCell ref="E21:E22"/>
    <mergeCell ref="F21:F22"/>
    <mergeCell ref="G21:G22"/>
    <mergeCell ref="H21:H22"/>
    <mergeCell ref="I21:I22"/>
    <mergeCell ref="A19:A20"/>
    <mergeCell ref="D19:D20"/>
    <mergeCell ref="E19:E20"/>
    <mergeCell ref="F19:F20"/>
    <mergeCell ref="G19:G20"/>
    <mergeCell ref="H23:H24"/>
    <mergeCell ref="I23:I24"/>
    <mergeCell ref="A25:A26"/>
    <mergeCell ref="D25:D26"/>
    <mergeCell ref="E25:E26"/>
    <mergeCell ref="F25:F26"/>
    <mergeCell ref="G25:G26"/>
    <mergeCell ref="H25:H26"/>
    <mergeCell ref="I25:I26"/>
    <mergeCell ref="A23:A24"/>
    <mergeCell ref="D23:D24"/>
    <mergeCell ref="E23:E24"/>
    <mergeCell ref="F23:F24"/>
    <mergeCell ref="G23:G24"/>
    <mergeCell ref="H27:H28"/>
    <mergeCell ref="I27:I28"/>
    <mergeCell ref="A29:A30"/>
    <mergeCell ref="D29:D30"/>
    <mergeCell ref="E29:E30"/>
    <mergeCell ref="F29:F30"/>
    <mergeCell ref="G29:G30"/>
    <mergeCell ref="H29:H30"/>
    <mergeCell ref="I29:I30"/>
    <mergeCell ref="A27:A28"/>
    <mergeCell ref="D27:D28"/>
    <mergeCell ref="E27:E28"/>
    <mergeCell ref="F27:F28"/>
    <mergeCell ref="G27:G28"/>
    <mergeCell ref="H31:H32"/>
    <mergeCell ref="I31:I32"/>
    <mergeCell ref="A31:A32"/>
    <mergeCell ref="D31:D32"/>
    <mergeCell ref="E31:E32"/>
    <mergeCell ref="F31:F32"/>
    <mergeCell ref="G31:G32"/>
  </mergeCells>
  <conditionalFormatting sqref="F19:F32">
    <cfRule type="cellIs" dxfId="13" priority="2" operator="equal">
      <formula>"OK"</formula>
    </cfRule>
    <cfRule type="cellIs" dxfId="12" priority="3" operator="equal">
      <formula>"NOK"</formula>
    </cfRule>
  </conditionalFormatting>
  <dataValidations count="4">
    <dataValidation type="list" allowBlank="1" sqref="B10" xr:uid="{00000000-0002-0000-0400-000000000000}">
      <formula1>"Unitaria,Integración,Funcional,Aceptación,Regresión,No funcional"</formula1>
      <formula2>0</formula2>
    </dataValidation>
    <dataValidation type="list" allowBlank="1" sqref="D19:D32" xr:uid="{00000000-0002-0000-0400-000001000000}">
      <formula1>"Positivo (+),Negativo (-)"</formula1>
      <formula2>0</formula2>
    </dataValidation>
    <dataValidation type="list" allowBlank="1" sqref="F19:F32" xr:uid="{00000000-0002-0000-0400-000002000000}">
      <formula1>"OK,NOK"</formula1>
      <formula2>0</formula2>
    </dataValidation>
    <dataValidation type="list" allowBlank="1" sqref="H19:H32" xr:uid="{00000000-0002-0000-0400-000003000000}">
      <formula1>"Baja,Media,Alta"</formula1>
      <formula2>0</formula2>
    </dataValidation>
  </dataValidations>
  <hyperlinks>
    <hyperlink ref="G19" r:id="rId1" xr:uid="{25751B8D-E12D-407E-83B2-CD7885913F29}"/>
    <hyperlink ref="G21" r:id="rId2" xr:uid="{1EDA13B3-C461-44F5-9697-2EE82323E4C7}"/>
    <hyperlink ref="G23" r:id="rId3" xr:uid="{142F8F1A-A0AE-4365-BD44-CC2D5CADA49F}"/>
    <hyperlink ref="G25" r:id="rId4" xr:uid="{61DD26C5-E448-4E0F-B09D-C19917D5A9D2}"/>
    <hyperlink ref="G27" r:id="rId5" xr:uid="{DF51C37C-3C3F-45EE-8806-F39350579F7B}"/>
    <hyperlink ref="G29" r:id="rId6" xr:uid="{411BC2CC-B2AC-430F-AE21-7CC6408329CC}"/>
    <hyperlink ref="G31" r:id="rId7" xr:uid="{D90B9193-B335-4732-90C6-D860E1BBF10C}"/>
  </hyperlinks>
  <pageMargins left="0.75" right="0.75" top="1" bottom="1" header="0.511811023622047" footer="0.511811023622047"/>
  <pageSetup fitToHeight="0" orientation="landscape" horizontalDpi="300" verticalDpi="300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6"/>
  <sheetViews>
    <sheetView showGridLines="0" zoomScale="53" zoomScaleNormal="100" workbookViewId="0">
      <pane xSplit="1" ySplit="18" topLeftCell="B19" activePane="bottomRight" state="frozen"/>
      <selection pane="topRight" activeCell="B1" sqref="B1"/>
      <selection pane="bottomLeft" activeCell="A19" sqref="A19"/>
      <selection pane="bottomRight" activeCell="N30" sqref="N30"/>
    </sheetView>
  </sheetViews>
  <sheetFormatPr baseColWidth="10" defaultColWidth="8.6640625" defaultRowHeight="14.4" x14ac:dyDescent="0.3"/>
  <cols>
    <col min="1" max="1" width="34" customWidth="1"/>
    <col min="2" max="2" width="22" customWidth="1"/>
    <col min="3" max="3" width="40" customWidth="1"/>
    <col min="4" max="4" width="14" customWidth="1"/>
    <col min="5" max="5" width="52" customWidth="1"/>
    <col min="6" max="6" width="16" customWidth="1"/>
    <col min="7" max="7" width="36" customWidth="1"/>
    <col min="8" max="8" width="16" customWidth="1"/>
    <col min="9" max="9" width="46" customWidth="1"/>
  </cols>
  <sheetData>
    <row r="1" spans="1:9" ht="33.75" customHeight="1" x14ac:dyDescent="0.3">
      <c r="A1" s="31" t="s">
        <v>278</v>
      </c>
      <c r="B1" s="31"/>
      <c r="C1" s="31"/>
      <c r="D1" s="31"/>
      <c r="E1" s="31"/>
      <c r="F1" s="31"/>
      <c r="G1" s="31"/>
      <c r="H1" s="31"/>
      <c r="I1" s="31"/>
    </row>
    <row r="2" spans="1:9" ht="15" customHeight="1" x14ac:dyDescent="0.3">
      <c r="A2" s="32" t="s">
        <v>82</v>
      </c>
      <c r="B2" s="32"/>
      <c r="C2" s="32"/>
      <c r="D2" s="32"/>
      <c r="E2" s="32"/>
      <c r="F2" s="32"/>
      <c r="G2" s="32"/>
      <c r="H2" s="32"/>
      <c r="I2" s="32"/>
    </row>
    <row r="4" spans="1:9" ht="15" customHeight="1" x14ac:dyDescent="0.3">
      <c r="A4" s="33" t="s">
        <v>83</v>
      </c>
      <c r="B4" s="33"/>
      <c r="C4" s="33"/>
      <c r="E4" s="33" t="s">
        <v>84</v>
      </c>
      <c r="F4" s="33"/>
      <c r="G4" s="33"/>
    </row>
    <row r="5" spans="1:9" ht="15" customHeight="1" x14ac:dyDescent="0.3">
      <c r="A5" s="2" t="s">
        <v>85</v>
      </c>
      <c r="B5" s="28" t="s">
        <v>86</v>
      </c>
      <c r="C5" s="28"/>
      <c r="E5" s="10" t="s">
        <v>87</v>
      </c>
      <c r="F5" s="24">
        <f>COUNTA(A19:A36)</f>
        <v>6</v>
      </c>
      <c r="G5" s="24"/>
    </row>
    <row r="6" spans="1:9" ht="15" customHeight="1" x14ac:dyDescent="0.3">
      <c r="A6" s="2" t="s">
        <v>88</v>
      </c>
      <c r="B6" s="28" t="s">
        <v>279</v>
      </c>
      <c r="C6" s="28"/>
      <c r="E6" s="10" t="s">
        <v>90</v>
      </c>
      <c r="F6" s="24">
        <f>COUNTIF(F19:F36,"OK")+COUNTIF(F19:F36,"NOK")</f>
        <v>6</v>
      </c>
      <c r="G6" s="24"/>
    </row>
    <row r="7" spans="1:9" ht="15" customHeight="1" x14ac:dyDescent="0.3">
      <c r="A7" s="2" t="s">
        <v>91</v>
      </c>
      <c r="B7" s="28" t="s">
        <v>92</v>
      </c>
      <c r="C7" s="28"/>
      <c r="E7" s="10" t="s">
        <v>93</v>
      </c>
      <c r="F7" s="24">
        <f>COUNTIF(F19:F36,"OK")</f>
        <v>6</v>
      </c>
      <c r="G7" s="24"/>
    </row>
    <row r="8" spans="1:9" ht="15" customHeight="1" x14ac:dyDescent="0.3">
      <c r="A8" s="2" t="s">
        <v>94</v>
      </c>
      <c r="B8" s="28"/>
      <c r="C8" s="28"/>
      <c r="E8" s="10" t="s">
        <v>95</v>
      </c>
      <c r="F8" s="24">
        <f>COUNTIF(F19:F36,"NOK")</f>
        <v>0</v>
      </c>
      <c r="G8" s="24"/>
    </row>
    <row r="9" spans="1:9" ht="15" customHeight="1" x14ac:dyDescent="0.3">
      <c r="A9" s="2" t="s">
        <v>96</v>
      </c>
      <c r="B9" s="28"/>
      <c r="C9" s="28"/>
      <c r="E9" s="10" t="s">
        <v>97</v>
      </c>
      <c r="F9" s="29">
        <f>IF(F6=0,0,F7/F6)</f>
        <v>1</v>
      </c>
      <c r="G9" s="29"/>
    </row>
    <row r="10" spans="1:9" ht="15" customHeight="1" x14ac:dyDescent="0.3">
      <c r="A10" s="2" t="s">
        <v>98</v>
      </c>
      <c r="B10" s="28" t="s">
        <v>99</v>
      </c>
      <c r="C10" s="28"/>
      <c r="E10" s="10" t="s">
        <v>100</v>
      </c>
      <c r="F10" s="29">
        <f>IF(F6=0,0,F8/F6)</f>
        <v>0</v>
      </c>
      <c r="G10" s="29"/>
    </row>
    <row r="11" spans="1:9" ht="15" customHeight="1" x14ac:dyDescent="0.3">
      <c r="A11" s="30" t="s">
        <v>101</v>
      </c>
      <c r="B11" s="30"/>
      <c r="C11" s="30"/>
      <c r="E11" s="10" t="s">
        <v>102</v>
      </c>
      <c r="F11" s="24">
        <f>F5-F6</f>
        <v>0</v>
      </c>
      <c r="G11" s="24"/>
    </row>
    <row r="12" spans="1:9" ht="15" customHeight="1" x14ac:dyDescent="0.3">
      <c r="A12" s="2" t="s">
        <v>280</v>
      </c>
      <c r="B12" s="23">
        <f>COUNTIF(A19:A36,"*_CA1_*")</f>
        <v>2</v>
      </c>
      <c r="C12" s="23"/>
      <c r="E12" s="10" t="s">
        <v>104</v>
      </c>
      <c r="F12" s="24">
        <f>COUNTIF(D19:D36,"Positivo*")</f>
        <v>4</v>
      </c>
      <c r="G12" s="24"/>
    </row>
    <row r="13" spans="1:9" ht="15" customHeight="1" x14ac:dyDescent="0.3">
      <c r="A13" s="2" t="s">
        <v>281</v>
      </c>
      <c r="B13" s="23">
        <f>COUNTIF(A19:A36,"*_CA2_*")</f>
        <v>2</v>
      </c>
      <c r="C13" s="23"/>
      <c r="E13" s="10" t="s">
        <v>106</v>
      </c>
      <c r="F13" s="24">
        <f>COUNTIF(D19:D36,"Negativo*")</f>
        <v>2</v>
      </c>
      <c r="G13" s="24"/>
    </row>
    <row r="14" spans="1:9" ht="15" customHeight="1" x14ac:dyDescent="0.3">
      <c r="A14" s="2" t="s">
        <v>282</v>
      </c>
      <c r="B14" s="23">
        <f>COUNTIF(A19:A36,"*_CA3_*")</f>
        <v>2</v>
      </c>
      <c r="C14" s="23"/>
      <c r="E14" s="10" t="s">
        <v>108</v>
      </c>
      <c r="F14" s="24">
        <f>COUNTIF(H19:H36,"Baja")</f>
        <v>0</v>
      </c>
      <c r="G14" s="24"/>
    </row>
    <row r="15" spans="1:9" ht="15" customHeight="1" x14ac:dyDescent="0.3">
      <c r="A15" s="11" t="s">
        <v>109</v>
      </c>
      <c r="B15" s="25">
        <f>COUNTIF(A19:A36,"*_CA4_*")</f>
        <v>0</v>
      </c>
      <c r="C15" s="25"/>
      <c r="E15" s="10" t="s">
        <v>110</v>
      </c>
      <c r="F15" s="24">
        <f>COUNTIF(H19:H36,"Media")</f>
        <v>0</v>
      </c>
      <c r="G15" s="24"/>
    </row>
    <row r="16" spans="1:9" ht="15" customHeight="1" x14ac:dyDescent="0.3">
      <c r="A16" s="12" t="s">
        <v>111</v>
      </c>
      <c r="B16" s="26">
        <f>SUM(B12:B15)</f>
        <v>6</v>
      </c>
      <c r="C16" s="26"/>
      <c r="E16" s="10" t="s">
        <v>112</v>
      </c>
      <c r="F16" s="24">
        <f>COUNTIF(H19:H36,"Alta")</f>
        <v>0</v>
      </c>
      <c r="G16" s="24"/>
    </row>
    <row r="17" spans="1:9" ht="15" customHeight="1" x14ac:dyDescent="0.3">
      <c r="A17" s="27" t="s">
        <v>113</v>
      </c>
      <c r="B17" s="27"/>
      <c r="C17" s="27"/>
      <c r="D17" s="27"/>
      <c r="E17" s="27"/>
      <c r="F17" s="27"/>
      <c r="G17" s="27"/>
      <c r="H17" s="27"/>
      <c r="I17" s="27"/>
    </row>
    <row r="18" spans="1:9" ht="33.75" customHeight="1" x14ac:dyDescent="0.3">
      <c r="A18" s="4" t="s">
        <v>16</v>
      </c>
      <c r="B18" s="4" t="s">
        <v>114</v>
      </c>
      <c r="C18" s="4" t="s">
        <v>115</v>
      </c>
      <c r="D18" s="4" t="s">
        <v>20</v>
      </c>
      <c r="E18" s="4" t="s">
        <v>22</v>
      </c>
      <c r="F18" s="4" t="s">
        <v>116</v>
      </c>
      <c r="G18" s="4" t="s">
        <v>117</v>
      </c>
      <c r="H18" s="4" t="s">
        <v>118</v>
      </c>
      <c r="I18" s="4" t="s">
        <v>24</v>
      </c>
    </row>
    <row r="19" spans="1:9" ht="18.75" customHeight="1" x14ac:dyDescent="0.3">
      <c r="A19" s="15" t="s">
        <v>283</v>
      </c>
      <c r="B19" s="13" t="s">
        <v>284</v>
      </c>
      <c r="C19" s="13" t="s">
        <v>285</v>
      </c>
      <c r="D19" s="16" t="s">
        <v>122</v>
      </c>
      <c r="E19" s="17" t="s">
        <v>286</v>
      </c>
      <c r="F19" s="18" t="s">
        <v>57</v>
      </c>
      <c r="G19" s="35" t="s">
        <v>478</v>
      </c>
      <c r="H19" s="18"/>
      <c r="I19" s="17" t="s">
        <v>287</v>
      </c>
    </row>
    <row r="20" spans="1:9" ht="18.75" customHeight="1" x14ac:dyDescent="0.3">
      <c r="A20" s="15"/>
      <c r="B20" s="13" t="s">
        <v>288</v>
      </c>
      <c r="C20" s="13" t="s">
        <v>289</v>
      </c>
      <c r="D20" s="16"/>
      <c r="E20" s="17"/>
      <c r="F20" s="18"/>
      <c r="G20" s="19"/>
      <c r="H20" s="18"/>
      <c r="I20" s="17"/>
    </row>
    <row r="21" spans="1:9" ht="18.75" customHeight="1" x14ac:dyDescent="0.3">
      <c r="A21" s="15"/>
      <c r="B21" s="13" t="s">
        <v>255</v>
      </c>
      <c r="C21" s="13" t="s">
        <v>290</v>
      </c>
      <c r="D21" s="16"/>
      <c r="E21" s="17"/>
      <c r="F21" s="18"/>
      <c r="G21" s="19"/>
      <c r="H21" s="18"/>
      <c r="I21" s="17"/>
    </row>
    <row r="22" spans="1:9" ht="18.75" customHeight="1" x14ac:dyDescent="0.3">
      <c r="A22" s="20" t="s">
        <v>291</v>
      </c>
      <c r="B22" s="14" t="s">
        <v>284</v>
      </c>
      <c r="C22" s="14" t="s">
        <v>292</v>
      </c>
      <c r="D22" s="21" t="s">
        <v>122</v>
      </c>
      <c r="E22" s="22" t="s">
        <v>293</v>
      </c>
      <c r="F22" s="18" t="s">
        <v>57</v>
      </c>
      <c r="G22" s="35" t="s">
        <v>478</v>
      </c>
      <c r="H22" s="18"/>
      <c r="I22" s="22" t="s">
        <v>294</v>
      </c>
    </row>
    <row r="23" spans="1:9" ht="18.75" customHeight="1" x14ac:dyDescent="0.3">
      <c r="A23" s="20"/>
      <c r="B23" s="14" t="s">
        <v>288</v>
      </c>
      <c r="C23" s="14" t="s">
        <v>289</v>
      </c>
      <c r="D23" s="21"/>
      <c r="E23" s="22"/>
      <c r="F23" s="18"/>
      <c r="G23" s="19"/>
      <c r="H23" s="18"/>
      <c r="I23" s="22"/>
    </row>
    <row r="24" spans="1:9" ht="18.75" customHeight="1" x14ac:dyDescent="0.3">
      <c r="A24" s="20"/>
      <c r="B24" s="14" t="s">
        <v>255</v>
      </c>
      <c r="C24" s="14" t="s">
        <v>290</v>
      </c>
      <c r="D24" s="21"/>
      <c r="E24" s="22"/>
      <c r="F24" s="18"/>
      <c r="G24" s="19"/>
      <c r="H24" s="18"/>
      <c r="I24" s="22"/>
    </row>
    <row r="25" spans="1:9" ht="18.75" customHeight="1" x14ac:dyDescent="0.3">
      <c r="A25" s="15" t="s">
        <v>295</v>
      </c>
      <c r="B25" s="13" t="s">
        <v>284</v>
      </c>
      <c r="C25" s="13" t="s">
        <v>292</v>
      </c>
      <c r="D25" s="16" t="s">
        <v>122</v>
      </c>
      <c r="E25" s="17" t="s">
        <v>296</v>
      </c>
      <c r="F25" s="18" t="s">
        <v>57</v>
      </c>
      <c r="G25" s="35" t="s">
        <v>478</v>
      </c>
      <c r="H25" s="18"/>
      <c r="I25" s="17" t="s">
        <v>297</v>
      </c>
    </row>
    <row r="26" spans="1:9" ht="18.75" customHeight="1" x14ac:dyDescent="0.3">
      <c r="A26" s="15"/>
      <c r="B26" s="13" t="s">
        <v>288</v>
      </c>
      <c r="C26" s="13" t="s">
        <v>298</v>
      </c>
      <c r="D26" s="16"/>
      <c r="E26" s="17"/>
      <c r="F26" s="18"/>
      <c r="G26" s="19"/>
      <c r="H26" s="18"/>
      <c r="I26" s="17"/>
    </row>
    <row r="27" spans="1:9" ht="18.75" customHeight="1" x14ac:dyDescent="0.3">
      <c r="A27" s="15"/>
      <c r="B27" s="13" t="s">
        <v>255</v>
      </c>
      <c r="C27" s="13" t="s">
        <v>299</v>
      </c>
      <c r="D27" s="16"/>
      <c r="E27" s="17"/>
      <c r="F27" s="18"/>
      <c r="G27" s="19"/>
      <c r="H27" s="18"/>
      <c r="I27" s="17"/>
    </row>
    <row r="28" spans="1:9" ht="18.75" customHeight="1" x14ac:dyDescent="0.3">
      <c r="A28" s="20" t="s">
        <v>300</v>
      </c>
      <c r="B28" s="14" t="s">
        <v>284</v>
      </c>
      <c r="C28" s="14" t="s">
        <v>301</v>
      </c>
      <c r="D28" s="21" t="s">
        <v>122</v>
      </c>
      <c r="E28" s="22" t="s">
        <v>302</v>
      </c>
      <c r="F28" s="18" t="s">
        <v>57</v>
      </c>
      <c r="G28" s="35" t="s">
        <v>478</v>
      </c>
      <c r="H28" s="18"/>
      <c r="I28" s="22" t="s">
        <v>303</v>
      </c>
    </row>
    <row r="29" spans="1:9" ht="18.75" customHeight="1" x14ac:dyDescent="0.3">
      <c r="A29" s="20"/>
      <c r="B29" s="14" t="s">
        <v>288</v>
      </c>
      <c r="C29" s="14" t="s">
        <v>298</v>
      </c>
      <c r="D29" s="21"/>
      <c r="E29" s="22"/>
      <c r="F29" s="18"/>
      <c r="G29" s="19"/>
      <c r="H29" s="18"/>
      <c r="I29" s="22"/>
    </row>
    <row r="30" spans="1:9" ht="18.75" customHeight="1" x14ac:dyDescent="0.3">
      <c r="A30" s="20"/>
      <c r="B30" s="14" t="s">
        <v>255</v>
      </c>
      <c r="C30" s="14" t="s">
        <v>299</v>
      </c>
      <c r="D30" s="21"/>
      <c r="E30" s="22"/>
      <c r="F30" s="18"/>
      <c r="G30" s="19"/>
      <c r="H30" s="18"/>
      <c r="I30" s="22"/>
    </row>
    <row r="31" spans="1:9" ht="27" customHeight="1" x14ac:dyDescent="0.3">
      <c r="A31" s="15" t="s">
        <v>304</v>
      </c>
      <c r="B31" s="13" t="s">
        <v>284</v>
      </c>
      <c r="C31" s="13" t="s">
        <v>305</v>
      </c>
      <c r="D31" s="16" t="s">
        <v>160</v>
      </c>
      <c r="E31" s="17" t="s">
        <v>306</v>
      </c>
      <c r="F31" s="18" t="s">
        <v>57</v>
      </c>
      <c r="G31" s="35" t="s">
        <v>478</v>
      </c>
      <c r="H31" s="18"/>
      <c r="I31" s="17" t="s">
        <v>307</v>
      </c>
    </row>
    <row r="32" spans="1:9" ht="27" customHeight="1" x14ac:dyDescent="0.3">
      <c r="A32" s="15"/>
      <c r="B32" s="13" t="s">
        <v>288</v>
      </c>
      <c r="C32" s="13" t="s">
        <v>308</v>
      </c>
      <c r="D32" s="16"/>
      <c r="E32" s="17"/>
      <c r="F32" s="18"/>
      <c r="G32" s="19"/>
      <c r="H32" s="18"/>
      <c r="I32" s="17"/>
    </row>
    <row r="33" spans="1:9" ht="27" customHeight="1" x14ac:dyDescent="0.3">
      <c r="A33" s="15"/>
      <c r="B33" s="13" t="s">
        <v>255</v>
      </c>
      <c r="C33" s="13" t="s">
        <v>299</v>
      </c>
      <c r="D33" s="16"/>
      <c r="E33" s="17"/>
      <c r="F33" s="18"/>
      <c r="G33" s="19"/>
      <c r="H33" s="18"/>
      <c r="I33" s="17"/>
    </row>
    <row r="34" spans="1:9" ht="27" customHeight="1" x14ac:dyDescent="0.3">
      <c r="A34" s="20" t="s">
        <v>309</v>
      </c>
      <c r="B34" s="14" t="s">
        <v>284</v>
      </c>
      <c r="C34" s="14" t="s">
        <v>310</v>
      </c>
      <c r="D34" s="21" t="s">
        <v>160</v>
      </c>
      <c r="E34" s="22" t="s">
        <v>311</v>
      </c>
      <c r="F34" s="18" t="s">
        <v>57</v>
      </c>
      <c r="G34" s="35" t="s">
        <v>478</v>
      </c>
      <c r="H34" s="18"/>
      <c r="I34" s="22" t="s">
        <v>312</v>
      </c>
    </row>
    <row r="35" spans="1:9" ht="27" customHeight="1" x14ac:dyDescent="0.3">
      <c r="A35" s="20"/>
      <c r="B35" s="14" t="s">
        <v>288</v>
      </c>
      <c r="C35" s="14" t="s">
        <v>298</v>
      </c>
      <c r="D35" s="21"/>
      <c r="E35" s="22"/>
      <c r="F35" s="18"/>
      <c r="G35" s="19"/>
      <c r="H35" s="18"/>
      <c r="I35" s="22"/>
    </row>
    <row r="36" spans="1:9" ht="27" customHeight="1" x14ac:dyDescent="0.3">
      <c r="A36" s="20"/>
      <c r="B36" s="14" t="s">
        <v>255</v>
      </c>
      <c r="C36" s="14" t="s">
        <v>313</v>
      </c>
      <c r="D36" s="21"/>
      <c r="E36" s="22"/>
      <c r="F36" s="18"/>
      <c r="G36" s="19"/>
      <c r="H36" s="18"/>
      <c r="I36" s="22"/>
    </row>
  </sheetData>
  <mergeCells count="71">
    <mergeCell ref="A1:I1"/>
    <mergeCell ref="A2:I2"/>
    <mergeCell ref="A4:C4"/>
    <mergeCell ref="E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A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A17:I17"/>
    <mergeCell ref="H19:H21"/>
    <mergeCell ref="I19:I21"/>
    <mergeCell ref="A22:A24"/>
    <mergeCell ref="D22:D24"/>
    <mergeCell ref="E22:E24"/>
    <mergeCell ref="F22:F24"/>
    <mergeCell ref="G22:G24"/>
    <mergeCell ref="H22:H24"/>
    <mergeCell ref="I22:I24"/>
    <mergeCell ref="A19:A21"/>
    <mergeCell ref="D19:D21"/>
    <mergeCell ref="E19:E21"/>
    <mergeCell ref="F19:F21"/>
    <mergeCell ref="G19:G21"/>
    <mergeCell ref="H25:H27"/>
    <mergeCell ref="I25:I27"/>
    <mergeCell ref="A28:A30"/>
    <mergeCell ref="D28:D30"/>
    <mergeCell ref="E28:E30"/>
    <mergeCell ref="F28:F30"/>
    <mergeCell ref="G28:G30"/>
    <mergeCell ref="H28:H30"/>
    <mergeCell ref="I28:I30"/>
    <mergeCell ref="A25:A27"/>
    <mergeCell ref="D25:D27"/>
    <mergeCell ref="E25:E27"/>
    <mergeCell ref="F25:F27"/>
    <mergeCell ref="G25:G27"/>
    <mergeCell ref="H31:H33"/>
    <mergeCell ref="I31:I33"/>
    <mergeCell ref="A34:A36"/>
    <mergeCell ref="D34:D36"/>
    <mergeCell ref="E34:E36"/>
    <mergeCell ref="F34:F36"/>
    <mergeCell ref="G34:G36"/>
    <mergeCell ref="H34:H36"/>
    <mergeCell ref="I34:I36"/>
    <mergeCell ref="A31:A33"/>
    <mergeCell ref="D31:D33"/>
    <mergeCell ref="E31:E33"/>
    <mergeCell ref="F31:F33"/>
    <mergeCell ref="G31:G33"/>
  </mergeCells>
  <conditionalFormatting sqref="F19:F36">
    <cfRule type="cellIs" dxfId="11" priority="2" operator="equal">
      <formula>"OK"</formula>
    </cfRule>
    <cfRule type="cellIs" dxfId="10" priority="3" operator="equal">
      <formula>"NOK"</formula>
    </cfRule>
  </conditionalFormatting>
  <dataValidations count="4">
    <dataValidation type="list" allowBlank="1" sqref="B10" xr:uid="{00000000-0002-0000-0500-000000000000}">
      <formula1>"Unitaria,Integración,Funcional,Aceptación,Regresión,No funcional"</formula1>
      <formula2>0</formula2>
    </dataValidation>
    <dataValidation type="list" allowBlank="1" sqref="D19:D36" xr:uid="{00000000-0002-0000-0500-000001000000}">
      <formula1>"Positivo (+),Negativo (-)"</formula1>
      <formula2>0</formula2>
    </dataValidation>
    <dataValidation type="list" allowBlank="1" sqref="F19:F36" xr:uid="{00000000-0002-0000-0500-000002000000}">
      <formula1>"OK,NOK"</formula1>
      <formula2>0</formula2>
    </dataValidation>
    <dataValidation type="list" allowBlank="1" sqref="H19:H36" xr:uid="{00000000-0002-0000-0500-000003000000}">
      <formula1>"Baja,Media,Alta"</formula1>
      <formula2>0</formula2>
    </dataValidation>
  </dataValidations>
  <hyperlinks>
    <hyperlink ref="G19" r:id="rId1" xr:uid="{A2CD013A-4B39-40CA-B8C4-FF9A69E70B13}"/>
    <hyperlink ref="G22" r:id="rId2" xr:uid="{9AD87CE3-4353-47D8-B029-CBCCAEF58671}"/>
    <hyperlink ref="G25" r:id="rId3" xr:uid="{D84B2F6D-50CA-4DC3-BD42-57F20B86D1B3}"/>
    <hyperlink ref="G28" r:id="rId4" xr:uid="{A0A2DE79-3DD8-4E15-AB9F-6578A4D2587C}"/>
    <hyperlink ref="G31" r:id="rId5" xr:uid="{66F37534-C051-4689-8E7E-E7D685D97002}"/>
    <hyperlink ref="G34" r:id="rId6" xr:uid="{6A641057-28EE-43D8-9B2A-913E20585BDF}"/>
  </hyperlinks>
  <pageMargins left="0.75" right="0.75" top="1" bottom="1" header="0.511811023622047" footer="0.511811023622047"/>
  <pageSetup fitToHeight="0" orientation="landscape" horizontalDpi="300" verticalDpi="300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47"/>
  <sheetViews>
    <sheetView showGridLines="0" zoomScale="53" zoomScaleNormal="100" workbookViewId="0">
      <pane xSplit="1" ySplit="18" topLeftCell="C31" activePane="bottomRight" state="frozen"/>
      <selection pane="topRight" activeCell="B1" sqref="B1"/>
      <selection pane="bottomLeft" activeCell="A19" sqref="A19"/>
      <selection pane="bottomRight" activeCell="O40" sqref="O40"/>
    </sheetView>
  </sheetViews>
  <sheetFormatPr baseColWidth="10" defaultColWidth="8.6640625" defaultRowHeight="14.4" x14ac:dyDescent="0.3"/>
  <cols>
    <col min="1" max="1" width="34" customWidth="1"/>
    <col min="2" max="2" width="22" customWidth="1"/>
    <col min="3" max="3" width="40" customWidth="1"/>
    <col min="4" max="4" width="14" customWidth="1"/>
    <col min="5" max="5" width="52" customWidth="1"/>
    <col min="6" max="6" width="16" customWidth="1"/>
    <col min="7" max="7" width="36" customWidth="1"/>
    <col min="8" max="8" width="16" customWidth="1"/>
    <col min="9" max="9" width="46" customWidth="1"/>
  </cols>
  <sheetData>
    <row r="1" spans="1:9" ht="33.75" customHeight="1" x14ac:dyDescent="0.3">
      <c r="A1" s="31" t="s">
        <v>314</v>
      </c>
      <c r="B1" s="31"/>
      <c r="C1" s="31"/>
      <c r="D1" s="31"/>
      <c r="E1" s="31"/>
      <c r="F1" s="31"/>
      <c r="G1" s="31"/>
      <c r="H1" s="31"/>
      <c r="I1" s="31"/>
    </row>
    <row r="2" spans="1:9" ht="15" customHeight="1" x14ac:dyDescent="0.3">
      <c r="A2" s="32" t="s">
        <v>315</v>
      </c>
      <c r="B2" s="32"/>
      <c r="C2" s="32"/>
      <c r="D2" s="32"/>
      <c r="E2" s="32"/>
      <c r="F2" s="32"/>
      <c r="G2" s="32"/>
      <c r="H2" s="32"/>
      <c r="I2" s="32"/>
    </row>
    <row r="4" spans="1:9" ht="15" customHeight="1" x14ac:dyDescent="0.3">
      <c r="A4" s="33" t="s">
        <v>83</v>
      </c>
      <c r="B4" s="33"/>
      <c r="C4" s="33"/>
      <c r="E4" s="33" t="s">
        <v>84</v>
      </c>
      <c r="F4" s="33"/>
      <c r="G4" s="33"/>
    </row>
    <row r="5" spans="1:9" ht="15" customHeight="1" x14ac:dyDescent="0.3">
      <c r="A5" s="2" t="s">
        <v>85</v>
      </c>
      <c r="B5" s="28" t="s">
        <v>86</v>
      </c>
      <c r="C5" s="28"/>
      <c r="E5" s="10" t="s">
        <v>87</v>
      </c>
      <c r="F5" s="24">
        <f>COUNTA(A19:A47)</f>
        <v>10</v>
      </c>
      <c r="G5" s="24"/>
    </row>
    <row r="6" spans="1:9" ht="15" customHeight="1" x14ac:dyDescent="0.3">
      <c r="A6" s="2" t="s">
        <v>88</v>
      </c>
      <c r="B6" s="28" t="s">
        <v>316</v>
      </c>
      <c r="C6" s="28"/>
      <c r="E6" s="10" t="s">
        <v>90</v>
      </c>
      <c r="F6" s="24">
        <f>COUNTIF(F19:F47,"OK")+COUNTIF(F19:F47,"NOK")</f>
        <v>10</v>
      </c>
      <c r="G6" s="24"/>
    </row>
    <row r="7" spans="1:9" ht="15" customHeight="1" x14ac:dyDescent="0.3">
      <c r="A7" s="2" t="s">
        <v>91</v>
      </c>
      <c r="B7" s="28" t="s">
        <v>317</v>
      </c>
      <c r="C7" s="28"/>
      <c r="E7" s="10" t="s">
        <v>93</v>
      </c>
      <c r="F7" s="24">
        <f>COUNTIF(F19:F47,"OK")</f>
        <v>10</v>
      </c>
      <c r="G7" s="24"/>
    </row>
    <row r="8" spans="1:9" ht="15" customHeight="1" x14ac:dyDescent="0.3">
      <c r="A8" s="2" t="s">
        <v>94</v>
      </c>
      <c r="B8" s="28"/>
      <c r="C8" s="28"/>
      <c r="E8" s="10" t="s">
        <v>95</v>
      </c>
      <c r="F8" s="24">
        <f>COUNTIF(F19:F47,"NOK")</f>
        <v>0</v>
      </c>
      <c r="G8" s="24"/>
    </row>
    <row r="9" spans="1:9" ht="15" customHeight="1" x14ac:dyDescent="0.3">
      <c r="A9" s="2" t="s">
        <v>96</v>
      </c>
      <c r="B9" s="28"/>
      <c r="C9" s="28"/>
      <c r="E9" s="10" t="s">
        <v>97</v>
      </c>
      <c r="F9" s="29">
        <f>IF(F6=0,0,F7/F6)</f>
        <v>1</v>
      </c>
      <c r="G9" s="29"/>
    </row>
    <row r="10" spans="1:9" ht="15" customHeight="1" x14ac:dyDescent="0.3">
      <c r="A10" s="2" t="s">
        <v>98</v>
      </c>
      <c r="B10" s="28" t="s">
        <v>99</v>
      </c>
      <c r="C10" s="28"/>
      <c r="E10" s="10" t="s">
        <v>100</v>
      </c>
      <c r="F10" s="29">
        <f>IF(F6=0,0,F8/F6)</f>
        <v>0</v>
      </c>
      <c r="G10" s="29"/>
    </row>
    <row r="11" spans="1:9" ht="15" customHeight="1" x14ac:dyDescent="0.3">
      <c r="A11" s="30" t="s">
        <v>101</v>
      </c>
      <c r="B11" s="30"/>
      <c r="C11" s="30"/>
      <c r="E11" s="10" t="s">
        <v>102</v>
      </c>
      <c r="F11" s="24">
        <f>F5-F6</f>
        <v>0</v>
      </c>
      <c r="G11" s="24"/>
    </row>
    <row r="12" spans="1:9" ht="15" customHeight="1" x14ac:dyDescent="0.3">
      <c r="A12" s="2" t="s">
        <v>318</v>
      </c>
      <c r="B12" s="23">
        <f>COUNTIF(A19:A47,"*_CA1_*")</f>
        <v>3</v>
      </c>
      <c r="C12" s="23"/>
      <c r="E12" s="10" t="s">
        <v>104</v>
      </c>
      <c r="F12" s="24">
        <f>COUNTIF(D19:D47,"Positivo*")</f>
        <v>3</v>
      </c>
      <c r="G12" s="24"/>
    </row>
    <row r="13" spans="1:9" ht="15" customHeight="1" x14ac:dyDescent="0.3">
      <c r="A13" s="2" t="s">
        <v>319</v>
      </c>
      <c r="B13" s="23">
        <f>COUNTIF(A19:A47,"*_CA2_*")</f>
        <v>5</v>
      </c>
      <c r="C13" s="23"/>
      <c r="E13" s="10" t="s">
        <v>106</v>
      </c>
      <c r="F13" s="24">
        <f>COUNTIF(D19:D47,"Negativo*")</f>
        <v>7</v>
      </c>
      <c r="G13" s="24"/>
    </row>
    <row r="14" spans="1:9" ht="15" customHeight="1" x14ac:dyDescent="0.3">
      <c r="A14" s="2" t="s">
        <v>320</v>
      </c>
      <c r="B14" s="23">
        <f>COUNTIF(A19:A47,"*_CA3_*")</f>
        <v>2</v>
      </c>
      <c r="C14" s="23"/>
      <c r="E14" s="10" t="s">
        <v>108</v>
      </c>
      <c r="F14" s="24">
        <f>COUNTIF(H19:H47,"Baja")</f>
        <v>0</v>
      </c>
      <c r="G14" s="24"/>
    </row>
    <row r="15" spans="1:9" ht="15" customHeight="1" x14ac:dyDescent="0.3">
      <c r="A15" s="11" t="s">
        <v>109</v>
      </c>
      <c r="B15" s="25">
        <f>COUNTIF(A19:A47,"*_CA4_*")</f>
        <v>0</v>
      </c>
      <c r="C15" s="25"/>
      <c r="E15" s="10" t="s">
        <v>110</v>
      </c>
      <c r="F15" s="24">
        <f>COUNTIF(H19:H47,"Media")</f>
        <v>0</v>
      </c>
      <c r="G15" s="24"/>
    </row>
    <row r="16" spans="1:9" ht="15" customHeight="1" x14ac:dyDescent="0.3">
      <c r="A16" s="12" t="s">
        <v>111</v>
      </c>
      <c r="B16" s="26">
        <f>SUM(B12:B15)</f>
        <v>10</v>
      </c>
      <c r="C16" s="26"/>
      <c r="E16" s="10" t="s">
        <v>112</v>
      </c>
      <c r="F16" s="24">
        <f>COUNTIF(H19:H47,"Alta")</f>
        <v>0</v>
      </c>
      <c r="G16" s="24"/>
    </row>
    <row r="17" spans="1:9" ht="15" customHeight="1" x14ac:dyDescent="0.3">
      <c r="A17" s="27" t="s">
        <v>113</v>
      </c>
      <c r="B17" s="27"/>
      <c r="C17" s="27"/>
      <c r="D17" s="27"/>
      <c r="E17" s="27"/>
      <c r="F17" s="27"/>
      <c r="G17" s="27"/>
      <c r="H17" s="27"/>
      <c r="I17" s="27"/>
    </row>
    <row r="18" spans="1:9" ht="33.75" customHeight="1" x14ac:dyDescent="0.3">
      <c r="A18" s="4" t="s">
        <v>16</v>
      </c>
      <c r="B18" s="4" t="s">
        <v>114</v>
      </c>
      <c r="C18" s="4" t="s">
        <v>115</v>
      </c>
      <c r="D18" s="4" t="s">
        <v>20</v>
      </c>
      <c r="E18" s="4" t="s">
        <v>22</v>
      </c>
      <c r="F18" s="4" t="s">
        <v>116</v>
      </c>
      <c r="G18" s="4" t="s">
        <v>117</v>
      </c>
      <c r="H18" s="4" t="s">
        <v>118</v>
      </c>
      <c r="I18" s="4" t="s">
        <v>24</v>
      </c>
    </row>
    <row r="19" spans="1:9" ht="18.75" customHeight="1" x14ac:dyDescent="0.3">
      <c r="A19" s="15" t="s">
        <v>321</v>
      </c>
      <c r="B19" s="13" t="s">
        <v>322</v>
      </c>
      <c r="C19" s="13" t="s">
        <v>323</v>
      </c>
      <c r="D19" s="16" t="s">
        <v>122</v>
      </c>
      <c r="E19" s="17" t="s">
        <v>324</v>
      </c>
      <c r="F19" s="18" t="s">
        <v>57</v>
      </c>
      <c r="G19" s="35" t="s">
        <v>479</v>
      </c>
      <c r="H19" s="18"/>
      <c r="I19" s="17" t="s">
        <v>325</v>
      </c>
    </row>
    <row r="20" spans="1:9" ht="18.75" customHeight="1" x14ac:dyDescent="0.3">
      <c r="A20" s="15"/>
      <c r="B20" s="13" t="s">
        <v>326</v>
      </c>
      <c r="C20" s="13" t="s">
        <v>327</v>
      </c>
      <c r="D20" s="16"/>
      <c r="E20" s="17"/>
      <c r="F20" s="18"/>
      <c r="G20" s="19"/>
      <c r="H20" s="18"/>
      <c r="I20" s="17"/>
    </row>
    <row r="21" spans="1:9" ht="18.75" customHeight="1" x14ac:dyDescent="0.3">
      <c r="A21" s="15"/>
      <c r="B21" s="13" t="s">
        <v>328</v>
      </c>
      <c r="C21" s="13" t="s">
        <v>329</v>
      </c>
      <c r="D21" s="16"/>
      <c r="E21" s="17"/>
      <c r="F21" s="18"/>
      <c r="G21" s="19"/>
      <c r="H21" s="18"/>
      <c r="I21" s="17"/>
    </row>
    <row r="22" spans="1:9" ht="18.75" customHeight="1" x14ac:dyDescent="0.3">
      <c r="A22" s="15"/>
      <c r="B22" s="13" t="s">
        <v>330</v>
      </c>
      <c r="C22" s="13" t="s">
        <v>331</v>
      </c>
      <c r="D22" s="16"/>
      <c r="E22" s="17"/>
      <c r="F22" s="18"/>
      <c r="G22" s="19"/>
      <c r="H22" s="18"/>
      <c r="I22" s="17"/>
    </row>
    <row r="23" spans="1:9" ht="18.75" customHeight="1" x14ac:dyDescent="0.3">
      <c r="A23" s="20" t="s">
        <v>332</v>
      </c>
      <c r="B23" s="14" t="s">
        <v>322</v>
      </c>
      <c r="C23" s="14" t="s">
        <v>333</v>
      </c>
      <c r="D23" s="21" t="s">
        <v>122</v>
      </c>
      <c r="E23" s="22" t="s">
        <v>324</v>
      </c>
      <c r="F23" s="18" t="s">
        <v>57</v>
      </c>
      <c r="G23" s="35" t="s">
        <v>479</v>
      </c>
      <c r="H23" s="18"/>
      <c r="I23" s="22" t="s">
        <v>334</v>
      </c>
    </row>
    <row r="24" spans="1:9" ht="18.75" customHeight="1" x14ac:dyDescent="0.3">
      <c r="A24" s="20"/>
      <c r="B24" s="14" t="s">
        <v>326</v>
      </c>
      <c r="C24" s="14" t="s">
        <v>335</v>
      </c>
      <c r="D24" s="21"/>
      <c r="E24" s="22"/>
      <c r="F24" s="18"/>
      <c r="G24" s="19"/>
      <c r="H24" s="18"/>
      <c r="I24" s="22"/>
    </row>
    <row r="25" spans="1:9" ht="18.75" customHeight="1" x14ac:dyDescent="0.3">
      <c r="A25" s="20"/>
      <c r="B25" s="14" t="s">
        <v>328</v>
      </c>
      <c r="C25" s="14" t="s">
        <v>336</v>
      </c>
      <c r="D25" s="21"/>
      <c r="E25" s="22"/>
      <c r="F25" s="18"/>
      <c r="G25" s="19"/>
      <c r="H25" s="18"/>
      <c r="I25" s="22"/>
    </row>
    <row r="26" spans="1:9" ht="18.75" customHeight="1" x14ac:dyDescent="0.3">
      <c r="A26" s="15" t="s">
        <v>337</v>
      </c>
      <c r="B26" s="13" t="s">
        <v>322</v>
      </c>
      <c r="C26" s="13" t="s">
        <v>338</v>
      </c>
      <c r="D26" s="16" t="s">
        <v>122</v>
      </c>
      <c r="E26" s="17" t="s">
        <v>324</v>
      </c>
      <c r="F26" s="18" t="s">
        <v>57</v>
      </c>
      <c r="G26" s="35" t="s">
        <v>479</v>
      </c>
      <c r="H26" s="18"/>
      <c r="I26" s="17" t="s">
        <v>339</v>
      </c>
    </row>
    <row r="27" spans="1:9" ht="18.75" customHeight="1" x14ac:dyDescent="0.3">
      <c r="A27" s="15"/>
      <c r="B27" s="13" t="s">
        <v>326</v>
      </c>
      <c r="C27" s="13" t="s">
        <v>340</v>
      </c>
      <c r="D27" s="16"/>
      <c r="E27" s="17"/>
      <c r="F27" s="18"/>
      <c r="G27" s="19"/>
      <c r="H27" s="18"/>
      <c r="I27" s="17"/>
    </row>
    <row r="28" spans="1:9" ht="18.75" customHeight="1" x14ac:dyDescent="0.3">
      <c r="A28" s="15"/>
      <c r="B28" s="13" t="s">
        <v>328</v>
      </c>
      <c r="C28" s="13" t="s">
        <v>341</v>
      </c>
      <c r="D28" s="16"/>
      <c r="E28" s="17"/>
      <c r="F28" s="18"/>
      <c r="G28" s="19"/>
      <c r="H28" s="18"/>
      <c r="I28" s="17"/>
    </row>
    <row r="29" spans="1:9" ht="18.75" customHeight="1" x14ac:dyDescent="0.3">
      <c r="A29" s="20" t="s">
        <v>342</v>
      </c>
      <c r="B29" s="14" t="s">
        <v>322</v>
      </c>
      <c r="C29" s="14" t="s">
        <v>159</v>
      </c>
      <c r="D29" s="21" t="s">
        <v>160</v>
      </c>
      <c r="E29" s="22" t="s">
        <v>343</v>
      </c>
      <c r="F29" s="18" t="s">
        <v>57</v>
      </c>
      <c r="G29" s="35" t="s">
        <v>479</v>
      </c>
      <c r="H29" s="18"/>
      <c r="I29" s="22" t="s">
        <v>344</v>
      </c>
    </row>
    <row r="30" spans="1:9" ht="18.75" customHeight="1" x14ac:dyDescent="0.3">
      <c r="A30" s="20"/>
      <c r="B30" s="14" t="s">
        <v>326</v>
      </c>
      <c r="C30" s="14" t="s">
        <v>345</v>
      </c>
      <c r="D30" s="21"/>
      <c r="E30" s="22"/>
      <c r="F30" s="18"/>
      <c r="G30" s="19"/>
      <c r="H30" s="18"/>
      <c r="I30" s="22"/>
    </row>
    <row r="31" spans="1:9" ht="18.75" customHeight="1" x14ac:dyDescent="0.3">
      <c r="A31" s="20"/>
      <c r="B31" s="14" t="s">
        <v>328</v>
      </c>
      <c r="C31" s="14" t="s">
        <v>329</v>
      </c>
      <c r="D31" s="21"/>
      <c r="E31" s="22"/>
      <c r="F31" s="18"/>
      <c r="G31" s="19"/>
      <c r="H31" s="18"/>
      <c r="I31" s="22"/>
    </row>
    <row r="32" spans="1:9" ht="18.75" customHeight="1" x14ac:dyDescent="0.3">
      <c r="A32" s="15" t="s">
        <v>346</v>
      </c>
      <c r="B32" s="13" t="s">
        <v>322</v>
      </c>
      <c r="C32" s="13" t="s">
        <v>323</v>
      </c>
      <c r="D32" s="16" t="s">
        <v>160</v>
      </c>
      <c r="E32" s="17" t="s">
        <v>347</v>
      </c>
      <c r="F32" s="18" t="s">
        <v>57</v>
      </c>
      <c r="G32" s="35" t="s">
        <v>479</v>
      </c>
      <c r="H32" s="18"/>
      <c r="I32" s="17" t="s">
        <v>348</v>
      </c>
    </row>
    <row r="33" spans="1:9" ht="18.75" customHeight="1" x14ac:dyDescent="0.3">
      <c r="A33" s="15"/>
      <c r="B33" s="13" t="s">
        <v>326</v>
      </c>
      <c r="C33" s="13" t="s">
        <v>159</v>
      </c>
      <c r="D33" s="16"/>
      <c r="E33" s="17"/>
      <c r="F33" s="18"/>
      <c r="G33" s="19"/>
      <c r="H33" s="18"/>
      <c r="I33" s="17"/>
    </row>
    <row r="34" spans="1:9" ht="18.75" customHeight="1" x14ac:dyDescent="0.3">
      <c r="A34" s="15"/>
      <c r="B34" s="13" t="s">
        <v>328</v>
      </c>
      <c r="C34" s="13" t="s">
        <v>329</v>
      </c>
      <c r="D34" s="16"/>
      <c r="E34" s="17"/>
      <c r="F34" s="18"/>
      <c r="G34" s="19"/>
      <c r="H34" s="18"/>
      <c r="I34" s="17"/>
    </row>
    <row r="35" spans="1:9" ht="18.75" customHeight="1" x14ac:dyDescent="0.3">
      <c r="A35" s="20" t="s">
        <v>349</v>
      </c>
      <c r="B35" s="14" t="s">
        <v>322</v>
      </c>
      <c r="C35" s="14" t="s">
        <v>159</v>
      </c>
      <c r="D35" s="21" t="s">
        <v>160</v>
      </c>
      <c r="E35" s="22" t="s">
        <v>350</v>
      </c>
      <c r="F35" s="18" t="s">
        <v>57</v>
      </c>
      <c r="G35" s="35" t="s">
        <v>479</v>
      </c>
      <c r="H35" s="18"/>
      <c r="I35" s="22" t="s">
        <v>351</v>
      </c>
    </row>
    <row r="36" spans="1:9" ht="18.75" customHeight="1" x14ac:dyDescent="0.3">
      <c r="A36" s="20"/>
      <c r="B36" s="14" t="s">
        <v>326</v>
      </c>
      <c r="C36" s="14" t="s">
        <v>159</v>
      </c>
      <c r="D36" s="21"/>
      <c r="E36" s="22"/>
      <c r="F36" s="18"/>
      <c r="G36" s="19"/>
      <c r="H36" s="18"/>
      <c r="I36" s="22"/>
    </row>
    <row r="37" spans="1:9" ht="18.75" customHeight="1" x14ac:dyDescent="0.3">
      <c r="A37" s="20"/>
      <c r="B37" s="14" t="s">
        <v>328</v>
      </c>
      <c r="C37" s="14" t="s">
        <v>329</v>
      </c>
      <c r="D37" s="21"/>
      <c r="E37" s="22"/>
      <c r="F37" s="18"/>
      <c r="G37" s="19"/>
      <c r="H37" s="18"/>
      <c r="I37" s="22"/>
    </row>
    <row r="38" spans="1:9" ht="27" customHeight="1" x14ac:dyDescent="0.3">
      <c r="A38" s="15" t="s">
        <v>352</v>
      </c>
      <c r="B38" s="13" t="s">
        <v>322</v>
      </c>
      <c r="C38" s="13" t="s">
        <v>353</v>
      </c>
      <c r="D38" s="16" t="s">
        <v>160</v>
      </c>
      <c r="E38" s="17" t="s">
        <v>354</v>
      </c>
      <c r="F38" s="18" t="s">
        <v>57</v>
      </c>
      <c r="G38" s="35" t="s">
        <v>479</v>
      </c>
      <c r="H38" s="18"/>
      <c r="I38" s="17" t="s">
        <v>355</v>
      </c>
    </row>
    <row r="39" spans="1:9" ht="27" customHeight="1" x14ac:dyDescent="0.3">
      <c r="A39" s="15"/>
      <c r="B39" s="13" t="s">
        <v>326</v>
      </c>
      <c r="C39" s="13" t="s">
        <v>356</v>
      </c>
      <c r="D39" s="16"/>
      <c r="E39" s="17"/>
      <c r="F39" s="18"/>
      <c r="G39" s="19"/>
      <c r="H39" s="18"/>
      <c r="I39" s="17"/>
    </row>
    <row r="40" spans="1:9" ht="27" customHeight="1" x14ac:dyDescent="0.3">
      <c r="A40" s="15"/>
      <c r="B40" s="13" t="s">
        <v>328</v>
      </c>
      <c r="C40" s="13" t="s">
        <v>357</v>
      </c>
      <c r="D40" s="16"/>
      <c r="E40" s="17"/>
      <c r="F40" s="18"/>
      <c r="G40" s="19"/>
      <c r="H40" s="18"/>
      <c r="I40" s="17"/>
    </row>
    <row r="41" spans="1:9" ht="18.75" customHeight="1" x14ac:dyDescent="0.3">
      <c r="A41" s="20" t="s">
        <v>358</v>
      </c>
      <c r="B41" s="14" t="s">
        <v>322</v>
      </c>
      <c r="C41" s="14" t="s">
        <v>353</v>
      </c>
      <c r="D41" s="21" t="s">
        <v>160</v>
      </c>
      <c r="E41" s="22" t="s">
        <v>359</v>
      </c>
      <c r="F41" s="18" t="s">
        <v>57</v>
      </c>
      <c r="G41" s="35" t="s">
        <v>479</v>
      </c>
      <c r="H41" s="18"/>
      <c r="I41" s="22" t="s">
        <v>360</v>
      </c>
    </row>
    <row r="42" spans="1:9" ht="18.75" customHeight="1" x14ac:dyDescent="0.3">
      <c r="A42" s="20"/>
      <c r="B42" s="14" t="s">
        <v>326</v>
      </c>
      <c r="C42" s="14" t="s">
        <v>356</v>
      </c>
      <c r="D42" s="21"/>
      <c r="E42" s="22"/>
      <c r="F42" s="18"/>
      <c r="G42" s="19"/>
      <c r="H42" s="18"/>
      <c r="I42" s="22"/>
    </row>
    <row r="43" spans="1:9" ht="18.75" customHeight="1" x14ac:dyDescent="0.3">
      <c r="A43" s="20"/>
      <c r="B43" s="14" t="s">
        <v>328</v>
      </c>
      <c r="C43" s="14" t="s">
        <v>361</v>
      </c>
      <c r="D43" s="21"/>
      <c r="E43" s="22"/>
      <c r="F43" s="18"/>
      <c r="G43" s="19"/>
      <c r="H43" s="18"/>
      <c r="I43" s="22"/>
    </row>
    <row r="44" spans="1:9" ht="33.75" customHeight="1" x14ac:dyDescent="0.3">
      <c r="A44" s="15" t="s">
        <v>362</v>
      </c>
      <c r="B44" s="13" t="s">
        <v>322</v>
      </c>
      <c r="C44" s="13" t="s">
        <v>363</v>
      </c>
      <c r="D44" s="16" t="s">
        <v>160</v>
      </c>
      <c r="E44" s="17" t="s">
        <v>364</v>
      </c>
      <c r="F44" s="18" t="s">
        <v>57</v>
      </c>
      <c r="G44" s="35" t="s">
        <v>479</v>
      </c>
      <c r="H44" s="18"/>
      <c r="I44" s="17" t="s">
        <v>365</v>
      </c>
    </row>
    <row r="45" spans="1:9" ht="33.75" customHeight="1" x14ac:dyDescent="0.3">
      <c r="A45" s="15"/>
      <c r="B45" s="13" t="s">
        <v>326</v>
      </c>
      <c r="C45" s="13" t="s">
        <v>366</v>
      </c>
      <c r="D45" s="16"/>
      <c r="E45" s="17"/>
      <c r="F45" s="18"/>
      <c r="G45" s="19"/>
      <c r="H45" s="18"/>
      <c r="I45" s="17"/>
    </row>
    <row r="46" spans="1:9" ht="27.75" customHeight="1" x14ac:dyDescent="0.3">
      <c r="A46" s="20" t="s">
        <v>367</v>
      </c>
      <c r="B46" s="14" t="s">
        <v>322</v>
      </c>
      <c r="C46" s="14" t="s">
        <v>368</v>
      </c>
      <c r="D46" s="21" t="s">
        <v>160</v>
      </c>
      <c r="E46" s="22" t="s">
        <v>364</v>
      </c>
      <c r="F46" s="18" t="s">
        <v>57</v>
      </c>
      <c r="G46" s="35" t="s">
        <v>479</v>
      </c>
      <c r="H46" s="18"/>
      <c r="I46" s="22" t="s">
        <v>369</v>
      </c>
    </row>
    <row r="47" spans="1:9" ht="27.75" customHeight="1" x14ac:dyDescent="0.3">
      <c r="A47" s="20"/>
      <c r="B47" s="14" t="s">
        <v>326</v>
      </c>
      <c r="C47" s="14" t="s">
        <v>370</v>
      </c>
      <c r="D47" s="21"/>
      <c r="E47" s="22"/>
      <c r="F47" s="18"/>
      <c r="G47" s="19"/>
      <c r="H47" s="18"/>
      <c r="I47" s="22"/>
    </row>
  </sheetData>
  <mergeCells count="99">
    <mergeCell ref="A1:I1"/>
    <mergeCell ref="A2:I2"/>
    <mergeCell ref="A4:C4"/>
    <mergeCell ref="E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A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A17:I17"/>
    <mergeCell ref="H19:H22"/>
    <mergeCell ref="I19:I22"/>
    <mergeCell ref="A23:A25"/>
    <mergeCell ref="D23:D25"/>
    <mergeCell ref="E23:E25"/>
    <mergeCell ref="F23:F25"/>
    <mergeCell ref="G23:G25"/>
    <mergeCell ref="H23:H25"/>
    <mergeCell ref="I23:I25"/>
    <mergeCell ref="A19:A22"/>
    <mergeCell ref="D19:D22"/>
    <mergeCell ref="E19:E22"/>
    <mergeCell ref="F19:F22"/>
    <mergeCell ref="G19:G22"/>
    <mergeCell ref="H26:H28"/>
    <mergeCell ref="I26:I28"/>
    <mergeCell ref="A29:A31"/>
    <mergeCell ref="D29:D31"/>
    <mergeCell ref="E29:E31"/>
    <mergeCell ref="F29:F31"/>
    <mergeCell ref="G29:G31"/>
    <mergeCell ref="H29:H31"/>
    <mergeCell ref="I29:I31"/>
    <mergeCell ref="A26:A28"/>
    <mergeCell ref="D26:D28"/>
    <mergeCell ref="E26:E28"/>
    <mergeCell ref="F26:F28"/>
    <mergeCell ref="G26:G28"/>
    <mergeCell ref="H32:H34"/>
    <mergeCell ref="I32:I34"/>
    <mergeCell ref="A35:A37"/>
    <mergeCell ref="D35:D37"/>
    <mergeCell ref="E35:E37"/>
    <mergeCell ref="F35:F37"/>
    <mergeCell ref="G35:G37"/>
    <mergeCell ref="H35:H37"/>
    <mergeCell ref="I35:I37"/>
    <mergeCell ref="A32:A34"/>
    <mergeCell ref="D32:D34"/>
    <mergeCell ref="E32:E34"/>
    <mergeCell ref="F32:F34"/>
    <mergeCell ref="G32:G34"/>
    <mergeCell ref="H38:H40"/>
    <mergeCell ref="I38:I40"/>
    <mergeCell ref="A41:A43"/>
    <mergeCell ref="D41:D43"/>
    <mergeCell ref="E41:E43"/>
    <mergeCell ref="F41:F43"/>
    <mergeCell ref="G41:G43"/>
    <mergeCell ref="H41:H43"/>
    <mergeCell ref="I41:I43"/>
    <mergeCell ref="A38:A40"/>
    <mergeCell ref="D38:D40"/>
    <mergeCell ref="E38:E40"/>
    <mergeCell ref="F38:F40"/>
    <mergeCell ref="G38:G40"/>
    <mergeCell ref="H44:H45"/>
    <mergeCell ref="I44:I45"/>
    <mergeCell ref="A46:A47"/>
    <mergeCell ref="D46:D47"/>
    <mergeCell ref="E46:E47"/>
    <mergeCell ref="F46:F47"/>
    <mergeCell ref="G46:G47"/>
    <mergeCell ref="H46:H47"/>
    <mergeCell ref="I46:I47"/>
    <mergeCell ref="A44:A45"/>
    <mergeCell ref="D44:D45"/>
    <mergeCell ref="E44:E45"/>
    <mergeCell ref="F44:F45"/>
    <mergeCell ref="G44:G45"/>
  </mergeCells>
  <conditionalFormatting sqref="F19:F47">
    <cfRule type="cellIs" dxfId="9" priority="2" operator="equal">
      <formula>"OK"</formula>
    </cfRule>
    <cfRule type="cellIs" dxfId="8" priority="3" operator="equal">
      <formula>"NOK"</formula>
    </cfRule>
  </conditionalFormatting>
  <dataValidations count="4">
    <dataValidation type="list" allowBlank="1" sqref="B10" xr:uid="{00000000-0002-0000-0600-000000000000}">
      <formula1>"Unitaria,Integración,Funcional,Aceptación,Regresión,No funcional"</formula1>
      <formula2>0</formula2>
    </dataValidation>
    <dataValidation type="list" allowBlank="1" sqref="D19:D47" xr:uid="{00000000-0002-0000-0600-000001000000}">
      <formula1>"Positivo (+),Negativo (-)"</formula1>
      <formula2>0</formula2>
    </dataValidation>
    <dataValidation type="list" allowBlank="1" sqref="F19:F47" xr:uid="{00000000-0002-0000-0600-000002000000}">
      <formula1>"OK,NOK"</formula1>
      <formula2>0</formula2>
    </dataValidation>
    <dataValidation type="list" allowBlank="1" sqref="H19:H47" xr:uid="{00000000-0002-0000-0600-000003000000}">
      <formula1>"Baja,Media,Alta"</formula1>
      <formula2>0</formula2>
    </dataValidation>
  </dataValidations>
  <hyperlinks>
    <hyperlink ref="G19" r:id="rId1" xr:uid="{22C14818-CE61-4EFF-9997-32D95907F0D3}"/>
    <hyperlink ref="G23" r:id="rId2" xr:uid="{9611F697-18FC-441B-B84C-CCC542AD0E7D}"/>
    <hyperlink ref="G26" r:id="rId3" xr:uid="{07D7076C-354F-405F-B174-B6B93FE82265}"/>
    <hyperlink ref="G29" r:id="rId4" xr:uid="{FE1A9239-E20F-477F-8686-05FC7B457242}"/>
    <hyperlink ref="G32" r:id="rId5" xr:uid="{A2CFC4F6-4DC2-4AB8-BB63-B0B1E4569EA0}"/>
    <hyperlink ref="G35" r:id="rId6" xr:uid="{DBAA72ED-1226-4474-8CEA-667A6DF81DF0}"/>
    <hyperlink ref="G38" r:id="rId7" xr:uid="{7E2067C9-B0B1-4E81-8FD5-EA851E88582B}"/>
    <hyperlink ref="G41" r:id="rId8" xr:uid="{43FF5EBA-FDCE-4A5B-B437-B2F17837CDDA}"/>
    <hyperlink ref="G44" r:id="rId9" xr:uid="{9A4DE3E2-4928-4CD0-B52A-896AF1A4DBF7}"/>
    <hyperlink ref="G46" r:id="rId10" xr:uid="{F1B7A34F-4E5D-4A64-95A5-6E7672053804}"/>
  </hyperlinks>
  <pageMargins left="0.75" right="0.75" top="1" bottom="1" header="0.511811023622047" footer="0.511811023622047"/>
  <pageSetup fitToHeight="0" orientation="landscape" horizontalDpi="300" verticalDpi="300"/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39"/>
  <sheetViews>
    <sheetView showGridLines="0" zoomScale="57" zoomScaleNormal="100" workbookViewId="0">
      <pane xSplit="1" ySplit="18" topLeftCell="B26" activePane="bottomRight" state="frozen"/>
      <selection pane="topRight" activeCell="B1" sqref="B1"/>
      <selection pane="bottomLeft" activeCell="A19" sqref="A19"/>
      <selection pane="bottomRight" activeCell="G19" sqref="G19:G39"/>
    </sheetView>
  </sheetViews>
  <sheetFormatPr baseColWidth="10" defaultColWidth="8.6640625" defaultRowHeight="14.4" x14ac:dyDescent="0.3"/>
  <cols>
    <col min="1" max="1" width="34" customWidth="1"/>
    <col min="2" max="2" width="22" customWidth="1"/>
    <col min="3" max="3" width="40" customWidth="1"/>
    <col min="4" max="4" width="14" customWidth="1"/>
    <col min="5" max="5" width="52" customWidth="1"/>
    <col min="6" max="6" width="16" customWidth="1"/>
    <col min="7" max="7" width="36" customWidth="1"/>
    <col min="8" max="8" width="16" customWidth="1"/>
    <col min="9" max="9" width="46" customWidth="1"/>
  </cols>
  <sheetData>
    <row r="1" spans="1:9" ht="33.75" customHeight="1" x14ac:dyDescent="0.3">
      <c r="A1" s="31" t="s">
        <v>371</v>
      </c>
      <c r="B1" s="31"/>
      <c r="C1" s="31"/>
      <c r="D1" s="31"/>
      <c r="E1" s="31"/>
      <c r="F1" s="31"/>
      <c r="G1" s="31"/>
      <c r="H1" s="31"/>
      <c r="I1" s="31"/>
    </row>
    <row r="2" spans="1:9" ht="15" customHeight="1" x14ac:dyDescent="0.3">
      <c r="A2" s="32" t="s">
        <v>315</v>
      </c>
      <c r="B2" s="32"/>
      <c r="C2" s="32"/>
      <c r="D2" s="32"/>
      <c r="E2" s="32"/>
      <c r="F2" s="32"/>
      <c r="G2" s="32"/>
      <c r="H2" s="32"/>
      <c r="I2" s="32"/>
    </row>
    <row r="4" spans="1:9" ht="15" customHeight="1" x14ac:dyDescent="0.3">
      <c r="A4" s="33" t="s">
        <v>83</v>
      </c>
      <c r="B4" s="33"/>
      <c r="C4" s="33"/>
      <c r="E4" s="33" t="s">
        <v>84</v>
      </c>
      <c r="F4" s="33"/>
      <c r="G4" s="33"/>
    </row>
    <row r="5" spans="1:9" ht="15" customHeight="1" x14ac:dyDescent="0.3">
      <c r="A5" s="2" t="s">
        <v>85</v>
      </c>
      <c r="B5" s="28" t="s">
        <v>86</v>
      </c>
      <c r="C5" s="28"/>
      <c r="E5" s="10" t="s">
        <v>87</v>
      </c>
      <c r="F5" s="24">
        <f>COUNTA(A19:A39)</f>
        <v>7</v>
      </c>
      <c r="G5" s="24"/>
    </row>
    <row r="6" spans="1:9" ht="15" customHeight="1" x14ac:dyDescent="0.3">
      <c r="A6" s="2" t="s">
        <v>88</v>
      </c>
      <c r="B6" s="28" t="s">
        <v>372</v>
      </c>
      <c r="C6" s="28"/>
      <c r="E6" s="10" t="s">
        <v>90</v>
      </c>
      <c r="F6" s="24">
        <f>COUNTIF(F19:F39,"OK")+COUNTIF(F19:F39,"NOK")</f>
        <v>7</v>
      </c>
      <c r="G6" s="24"/>
    </row>
    <row r="7" spans="1:9" ht="15" customHeight="1" x14ac:dyDescent="0.3">
      <c r="A7" s="2" t="s">
        <v>91</v>
      </c>
      <c r="B7" s="28" t="s">
        <v>317</v>
      </c>
      <c r="C7" s="28"/>
      <c r="E7" s="10" t="s">
        <v>93</v>
      </c>
      <c r="F7" s="24">
        <f>COUNTIF(F19:F39,"OK")</f>
        <v>7</v>
      </c>
      <c r="G7" s="24"/>
    </row>
    <row r="8" spans="1:9" ht="15" customHeight="1" x14ac:dyDescent="0.3">
      <c r="A8" s="2" t="s">
        <v>94</v>
      </c>
      <c r="B8" s="28"/>
      <c r="C8" s="28"/>
      <c r="E8" s="10" t="s">
        <v>95</v>
      </c>
      <c r="F8" s="24">
        <f>COUNTIF(F19:F39,"NOK")</f>
        <v>0</v>
      </c>
      <c r="G8" s="24"/>
    </row>
    <row r="9" spans="1:9" ht="15" customHeight="1" x14ac:dyDescent="0.3">
      <c r="A9" s="2" t="s">
        <v>96</v>
      </c>
      <c r="B9" s="28"/>
      <c r="C9" s="28"/>
      <c r="E9" s="10" t="s">
        <v>97</v>
      </c>
      <c r="F9" s="29">
        <f>IF(F6=0,0,F7/F6)</f>
        <v>1</v>
      </c>
      <c r="G9" s="29"/>
    </row>
    <row r="10" spans="1:9" ht="15" customHeight="1" x14ac:dyDescent="0.3">
      <c r="A10" s="2" t="s">
        <v>98</v>
      </c>
      <c r="B10" s="28" t="s">
        <v>99</v>
      </c>
      <c r="C10" s="28"/>
      <c r="E10" s="10" t="s">
        <v>100</v>
      </c>
      <c r="F10" s="29">
        <f>IF(F6=0,0,F8/F6)</f>
        <v>0</v>
      </c>
      <c r="G10" s="29"/>
    </row>
    <row r="11" spans="1:9" ht="15" customHeight="1" x14ac:dyDescent="0.3">
      <c r="A11" s="30" t="s">
        <v>101</v>
      </c>
      <c r="B11" s="30"/>
      <c r="C11" s="30"/>
      <c r="E11" s="10" t="s">
        <v>102</v>
      </c>
      <c r="F11" s="24">
        <f>F5-F6</f>
        <v>0</v>
      </c>
      <c r="G11" s="24"/>
    </row>
    <row r="12" spans="1:9" ht="15" customHeight="1" x14ac:dyDescent="0.3">
      <c r="A12" s="2" t="s">
        <v>373</v>
      </c>
      <c r="B12" s="23">
        <f>COUNTIF(A19:A39,"*_CA1_*")</f>
        <v>3</v>
      </c>
      <c r="C12" s="23"/>
      <c r="E12" s="10" t="s">
        <v>104</v>
      </c>
      <c r="F12" s="24">
        <f>COUNTIF(D19:D39,"Positivo*")</f>
        <v>3</v>
      </c>
      <c r="G12" s="24"/>
    </row>
    <row r="13" spans="1:9" ht="15" customHeight="1" x14ac:dyDescent="0.3">
      <c r="A13" s="2" t="s">
        <v>374</v>
      </c>
      <c r="B13" s="23">
        <f>COUNTIF(A19:A39,"*_CA2_*")</f>
        <v>1</v>
      </c>
      <c r="C13" s="23"/>
      <c r="E13" s="10" t="s">
        <v>106</v>
      </c>
      <c r="F13" s="24">
        <f>COUNTIF(D19:D39,"Negativo*")</f>
        <v>4</v>
      </c>
      <c r="G13" s="24"/>
    </row>
    <row r="14" spans="1:9" ht="15" customHeight="1" x14ac:dyDescent="0.3">
      <c r="A14" s="2" t="s">
        <v>375</v>
      </c>
      <c r="B14" s="23">
        <f>COUNTIF(A19:A39,"*_CA3_*")</f>
        <v>1</v>
      </c>
      <c r="C14" s="23"/>
      <c r="E14" s="10" t="s">
        <v>108</v>
      </c>
      <c r="F14" s="24">
        <f>COUNTIF(H19:H39,"Baja")</f>
        <v>0</v>
      </c>
      <c r="G14" s="24"/>
    </row>
    <row r="15" spans="1:9" ht="15" customHeight="1" x14ac:dyDescent="0.3">
      <c r="A15" s="11" t="s">
        <v>376</v>
      </c>
      <c r="B15" s="25">
        <f>COUNTIF(A19:A39,"*_CA4_*")</f>
        <v>2</v>
      </c>
      <c r="C15" s="25"/>
      <c r="E15" s="10" t="s">
        <v>110</v>
      </c>
      <c r="F15" s="24">
        <f>COUNTIF(H19:H39,"Media")</f>
        <v>0</v>
      </c>
      <c r="G15" s="24"/>
    </row>
    <row r="16" spans="1:9" ht="15" customHeight="1" x14ac:dyDescent="0.3">
      <c r="A16" s="12" t="s">
        <v>111</v>
      </c>
      <c r="B16" s="26">
        <f>SUM(B12:B15)</f>
        <v>7</v>
      </c>
      <c r="C16" s="26"/>
      <c r="E16" s="10" t="s">
        <v>112</v>
      </c>
      <c r="F16" s="24">
        <f>COUNTIF(H19:H39,"Alta")</f>
        <v>0</v>
      </c>
      <c r="G16" s="24"/>
    </row>
    <row r="17" spans="1:9" ht="15" customHeight="1" x14ac:dyDescent="0.3">
      <c r="A17" s="27" t="s">
        <v>113</v>
      </c>
      <c r="B17" s="27"/>
      <c r="C17" s="27"/>
      <c r="D17" s="27"/>
      <c r="E17" s="27"/>
      <c r="F17" s="27"/>
      <c r="G17" s="27"/>
      <c r="H17" s="27"/>
      <c r="I17" s="27"/>
    </row>
    <row r="18" spans="1:9" ht="33.75" customHeight="1" x14ac:dyDescent="0.3">
      <c r="A18" s="4" t="s">
        <v>16</v>
      </c>
      <c r="B18" s="4" t="s">
        <v>114</v>
      </c>
      <c r="C18" s="4" t="s">
        <v>115</v>
      </c>
      <c r="D18" s="4" t="s">
        <v>20</v>
      </c>
      <c r="E18" s="4" t="s">
        <v>22</v>
      </c>
      <c r="F18" s="4" t="s">
        <v>116</v>
      </c>
      <c r="G18" s="4" t="s">
        <v>117</v>
      </c>
      <c r="H18" s="4" t="s">
        <v>118</v>
      </c>
      <c r="I18" s="4" t="s">
        <v>24</v>
      </c>
    </row>
    <row r="19" spans="1:9" ht="22.5" customHeight="1" x14ac:dyDescent="0.3">
      <c r="A19" s="15" t="s">
        <v>377</v>
      </c>
      <c r="B19" s="13" t="s">
        <v>284</v>
      </c>
      <c r="C19" s="13" t="s">
        <v>378</v>
      </c>
      <c r="D19" s="16" t="s">
        <v>122</v>
      </c>
      <c r="E19" s="17" t="s">
        <v>379</v>
      </c>
      <c r="F19" s="18" t="s">
        <v>57</v>
      </c>
      <c r="G19" s="35" t="s">
        <v>480</v>
      </c>
      <c r="H19" s="18"/>
      <c r="I19" s="17" t="s">
        <v>380</v>
      </c>
    </row>
    <row r="20" spans="1:9" ht="22.5" customHeight="1" x14ac:dyDescent="0.3">
      <c r="A20" s="15"/>
      <c r="B20" s="13" t="s">
        <v>381</v>
      </c>
      <c r="C20" s="13" t="s">
        <v>323</v>
      </c>
      <c r="D20" s="16"/>
      <c r="E20" s="17"/>
      <c r="F20" s="18"/>
      <c r="G20" s="19"/>
      <c r="H20" s="18"/>
      <c r="I20" s="17"/>
    </row>
    <row r="21" spans="1:9" ht="22.5" customHeight="1" x14ac:dyDescent="0.3">
      <c r="A21" s="15"/>
      <c r="B21" s="13" t="s">
        <v>255</v>
      </c>
      <c r="C21" s="13" t="s">
        <v>382</v>
      </c>
      <c r="D21" s="16"/>
      <c r="E21" s="17"/>
      <c r="F21" s="18"/>
      <c r="G21" s="19"/>
      <c r="H21" s="18"/>
      <c r="I21" s="17"/>
    </row>
    <row r="22" spans="1:9" ht="18.75" customHeight="1" x14ac:dyDescent="0.3">
      <c r="A22" s="20" t="s">
        <v>383</v>
      </c>
      <c r="B22" s="14" t="s">
        <v>284</v>
      </c>
      <c r="C22" s="14" t="s">
        <v>121</v>
      </c>
      <c r="D22" s="21" t="s">
        <v>122</v>
      </c>
      <c r="E22" s="22" t="s">
        <v>384</v>
      </c>
      <c r="F22" s="18" t="s">
        <v>57</v>
      </c>
      <c r="G22" s="35" t="s">
        <v>480</v>
      </c>
      <c r="H22" s="18"/>
      <c r="I22" s="22" t="s">
        <v>385</v>
      </c>
    </row>
    <row r="23" spans="1:9" ht="18.75" customHeight="1" x14ac:dyDescent="0.3">
      <c r="A23" s="20"/>
      <c r="B23" s="14" t="s">
        <v>381</v>
      </c>
      <c r="C23" s="14" t="s">
        <v>333</v>
      </c>
      <c r="D23" s="21"/>
      <c r="E23" s="22"/>
      <c r="F23" s="18"/>
      <c r="G23" s="19"/>
      <c r="H23" s="18"/>
      <c r="I23" s="22"/>
    </row>
    <row r="24" spans="1:9" ht="18.75" customHeight="1" x14ac:dyDescent="0.3">
      <c r="A24" s="20"/>
      <c r="B24" s="14" t="s">
        <v>255</v>
      </c>
      <c r="C24" s="14" t="s">
        <v>382</v>
      </c>
      <c r="D24" s="21"/>
      <c r="E24" s="22"/>
      <c r="F24" s="18"/>
      <c r="G24" s="19"/>
      <c r="H24" s="18"/>
      <c r="I24" s="22"/>
    </row>
    <row r="25" spans="1:9" ht="22.5" customHeight="1" x14ac:dyDescent="0.3">
      <c r="A25" s="15" t="s">
        <v>386</v>
      </c>
      <c r="B25" s="13" t="s">
        <v>284</v>
      </c>
      <c r="C25" s="13" t="s">
        <v>378</v>
      </c>
      <c r="D25" s="16" t="s">
        <v>122</v>
      </c>
      <c r="E25" s="17" t="s">
        <v>387</v>
      </c>
      <c r="F25" s="18" t="s">
        <v>57</v>
      </c>
      <c r="G25" s="35" t="s">
        <v>480</v>
      </c>
      <c r="H25" s="18"/>
      <c r="I25" s="17" t="s">
        <v>388</v>
      </c>
    </row>
    <row r="26" spans="1:9" ht="22.5" customHeight="1" x14ac:dyDescent="0.3">
      <c r="A26" s="15"/>
      <c r="B26" s="13" t="s">
        <v>381</v>
      </c>
      <c r="C26" s="13" t="s">
        <v>333</v>
      </c>
      <c r="D26" s="16"/>
      <c r="E26" s="17"/>
      <c r="F26" s="18"/>
      <c r="G26" s="19"/>
      <c r="H26" s="18"/>
      <c r="I26" s="17"/>
    </row>
    <row r="27" spans="1:9" ht="22.5" customHeight="1" x14ac:dyDescent="0.3">
      <c r="A27" s="15"/>
      <c r="B27" s="13" t="s">
        <v>255</v>
      </c>
      <c r="C27" s="13" t="s">
        <v>382</v>
      </c>
      <c r="D27" s="16"/>
      <c r="E27" s="17"/>
      <c r="F27" s="18"/>
      <c r="G27" s="19"/>
      <c r="H27" s="18"/>
      <c r="I27" s="17"/>
    </row>
    <row r="28" spans="1:9" ht="18.75" customHeight="1" x14ac:dyDescent="0.3">
      <c r="A28" s="20" t="s">
        <v>389</v>
      </c>
      <c r="B28" s="14" t="s">
        <v>284</v>
      </c>
      <c r="C28" s="14" t="s">
        <v>390</v>
      </c>
      <c r="D28" s="21" t="s">
        <v>160</v>
      </c>
      <c r="E28" s="22" t="s">
        <v>391</v>
      </c>
      <c r="F28" s="18" t="s">
        <v>57</v>
      </c>
      <c r="G28" s="35" t="s">
        <v>480</v>
      </c>
      <c r="H28" s="18"/>
      <c r="I28" s="22" t="s">
        <v>392</v>
      </c>
    </row>
    <row r="29" spans="1:9" ht="18.75" customHeight="1" x14ac:dyDescent="0.3">
      <c r="A29" s="20"/>
      <c r="B29" s="14" t="s">
        <v>381</v>
      </c>
      <c r="C29" s="14" t="s">
        <v>323</v>
      </c>
      <c r="D29" s="21"/>
      <c r="E29" s="22"/>
      <c r="F29" s="18"/>
      <c r="G29" s="19"/>
      <c r="H29" s="18"/>
      <c r="I29" s="22"/>
    </row>
    <row r="30" spans="1:9" ht="18.75" customHeight="1" x14ac:dyDescent="0.3">
      <c r="A30" s="20"/>
      <c r="B30" s="14" t="s">
        <v>255</v>
      </c>
      <c r="C30" s="14" t="s">
        <v>382</v>
      </c>
      <c r="D30" s="21"/>
      <c r="E30" s="22"/>
      <c r="F30" s="18"/>
      <c r="G30" s="19"/>
      <c r="H30" s="18"/>
      <c r="I30" s="22"/>
    </row>
    <row r="31" spans="1:9" ht="22.5" customHeight="1" x14ac:dyDescent="0.3">
      <c r="A31" s="15" t="s">
        <v>393</v>
      </c>
      <c r="B31" s="13" t="s">
        <v>284</v>
      </c>
      <c r="C31" s="13" t="s">
        <v>394</v>
      </c>
      <c r="D31" s="16" t="s">
        <v>160</v>
      </c>
      <c r="E31" s="17" t="s">
        <v>395</v>
      </c>
      <c r="F31" s="18" t="s">
        <v>57</v>
      </c>
      <c r="G31" s="35" t="s">
        <v>480</v>
      </c>
      <c r="H31" s="18"/>
      <c r="I31" s="17" t="s">
        <v>396</v>
      </c>
    </row>
    <row r="32" spans="1:9" ht="22.5" customHeight="1" x14ac:dyDescent="0.3">
      <c r="A32" s="15"/>
      <c r="B32" s="13" t="s">
        <v>381</v>
      </c>
      <c r="C32" s="13" t="s">
        <v>323</v>
      </c>
      <c r="D32" s="16"/>
      <c r="E32" s="17"/>
      <c r="F32" s="18"/>
      <c r="G32" s="19"/>
      <c r="H32" s="18"/>
      <c r="I32" s="17"/>
    </row>
    <row r="33" spans="1:9" ht="22.5" customHeight="1" x14ac:dyDescent="0.3">
      <c r="A33" s="15"/>
      <c r="B33" s="13" t="s">
        <v>255</v>
      </c>
      <c r="C33" s="13" t="s">
        <v>382</v>
      </c>
      <c r="D33" s="16"/>
      <c r="E33" s="17"/>
      <c r="F33" s="18"/>
      <c r="G33" s="19"/>
      <c r="H33" s="18"/>
      <c r="I33" s="17"/>
    </row>
    <row r="34" spans="1:9" ht="18.75" customHeight="1" x14ac:dyDescent="0.3">
      <c r="A34" s="20" t="s">
        <v>397</v>
      </c>
      <c r="B34" s="14" t="s">
        <v>284</v>
      </c>
      <c r="C34" s="14" t="s">
        <v>378</v>
      </c>
      <c r="D34" s="21" t="s">
        <v>160</v>
      </c>
      <c r="E34" s="22" t="s">
        <v>398</v>
      </c>
      <c r="F34" s="18" t="s">
        <v>57</v>
      </c>
      <c r="G34" s="35" t="s">
        <v>480</v>
      </c>
      <c r="H34" s="18"/>
      <c r="I34" s="22" t="s">
        <v>399</v>
      </c>
    </row>
    <row r="35" spans="1:9" ht="18.75" customHeight="1" x14ac:dyDescent="0.3">
      <c r="A35" s="20"/>
      <c r="B35" s="14" t="s">
        <v>381</v>
      </c>
      <c r="C35" s="14" t="s">
        <v>400</v>
      </c>
      <c r="D35" s="21"/>
      <c r="E35" s="22"/>
      <c r="F35" s="18"/>
      <c r="G35" s="19"/>
      <c r="H35" s="18"/>
      <c r="I35" s="22"/>
    </row>
    <row r="36" spans="1:9" ht="18.75" customHeight="1" x14ac:dyDescent="0.3">
      <c r="A36" s="20"/>
      <c r="B36" s="14" t="s">
        <v>255</v>
      </c>
      <c r="C36" s="14" t="s">
        <v>382</v>
      </c>
      <c r="D36" s="21"/>
      <c r="E36" s="22"/>
      <c r="F36" s="18"/>
      <c r="G36" s="19"/>
      <c r="H36" s="18"/>
      <c r="I36" s="22"/>
    </row>
    <row r="37" spans="1:9" ht="18.75" customHeight="1" x14ac:dyDescent="0.3">
      <c r="A37" s="15" t="s">
        <v>401</v>
      </c>
      <c r="B37" s="13" t="s">
        <v>284</v>
      </c>
      <c r="C37" s="13" t="s">
        <v>390</v>
      </c>
      <c r="D37" s="16" t="s">
        <v>160</v>
      </c>
      <c r="E37" s="17" t="s">
        <v>402</v>
      </c>
      <c r="F37" s="18" t="s">
        <v>57</v>
      </c>
      <c r="G37" s="35" t="s">
        <v>480</v>
      </c>
      <c r="H37" s="18"/>
      <c r="I37" s="17" t="s">
        <v>403</v>
      </c>
    </row>
    <row r="38" spans="1:9" ht="18.75" customHeight="1" x14ac:dyDescent="0.3">
      <c r="A38" s="15"/>
      <c r="B38" s="13" t="s">
        <v>381</v>
      </c>
      <c r="C38" s="13" t="s">
        <v>400</v>
      </c>
      <c r="D38" s="16"/>
      <c r="E38" s="17"/>
      <c r="F38" s="18"/>
      <c r="G38" s="19"/>
      <c r="H38" s="18"/>
      <c r="I38" s="17"/>
    </row>
    <row r="39" spans="1:9" ht="18.75" customHeight="1" x14ac:dyDescent="0.3">
      <c r="A39" s="15"/>
      <c r="B39" s="13" t="s">
        <v>255</v>
      </c>
      <c r="C39" s="13" t="s">
        <v>382</v>
      </c>
      <c r="D39" s="16"/>
      <c r="E39" s="17"/>
      <c r="F39" s="18"/>
      <c r="G39" s="19"/>
      <c r="H39" s="18"/>
      <c r="I39" s="17"/>
    </row>
  </sheetData>
  <mergeCells count="78">
    <mergeCell ref="A1:I1"/>
    <mergeCell ref="A2:I2"/>
    <mergeCell ref="A4:C4"/>
    <mergeCell ref="E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A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A17:I17"/>
    <mergeCell ref="H19:H21"/>
    <mergeCell ref="I19:I21"/>
    <mergeCell ref="A22:A24"/>
    <mergeCell ref="D22:D24"/>
    <mergeCell ref="E22:E24"/>
    <mergeCell ref="F22:F24"/>
    <mergeCell ref="G22:G24"/>
    <mergeCell ref="H22:H24"/>
    <mergeCell ref="I22:I24"/>
    <mergeCell ref="A19:A21"/>
    <mergeCell ref="D19:D21"/>
    <mergeCell ref="E19:E21"/>
    <mergeCell ref="F19:F21"/>
    <mergeCell ref="G19:G21"/>
    <mergeCell ref="H25:H27"/>
    <mergeCell ref="I25:I27"/>
    <mergeCell ref="A28:A30"/>
    <mergeCell ref="D28:D30"/>
    <mergeCell ref="E28:E30"/>
    <mergeCell ref="F28:F30"/>
    <mergeCell ref="G28:G30"/>
    <mergeCell ref="H28:H30"/>
    <mergeCell ref="I28:I30"/>
    <mergeCell ref="A25:A27"/>
    <mergeCell ref="D25:D27"/>
    <mergeCell ref="E25:E27"/>
    <mergeCell ref="F25:F27"/>
    <mergeCell ref="G25:G27"/>
    <mergeCell ref="H31:H33"/>
    <mergeCell ref="I31:I33"/>
    <mergeCell ref="A34:A36"/>
    <mergeCell ref="D34:D36"/>
    <mergeCell ref="E34:E36"/>
    <mergeCell ref="F34:F36"/>
    <mergeCell ref="G34:G36"/>
    <mergeCell ref="H34:H36"/>
    <mergeCell ref="I34:I36"/>
    <mergeCell ref="A31:A33"/>
    <mergeCell ref="D31:D33"/>
    <mergeCell ref="E31:E33"/>
    <mergeCell ref="F31:F33"/>
    <mergeCell ref="G31:G33"/>
    <mergeCell ref="H37:H39"/>
    <mergeCell ref="I37:I39"/>
    <mergeCell ref="A37:A39"/>
    <mergeCell ref="D37:D39"/>
    <mergeCell ref="E37:E39"/>
    <mergeCell ref="F37:F39"/>
    <mergeCell ref="G37:G39"/>
  </mergeCells>
  <conditionalFormatting sqref="F19:F39">
    <cfRule type="cellIs" dxfId="7" priority="2" operator="equal">
      <formula>"OK"</formula>
    </cfRule>
    <cfRule type="cellIs" dxfId="6" priority="3" operator="equal">
      <formula>"NOK"</formula>
    </cfRule>
  </conditionalFormatting>
  <dataValidations count="4">
    <dataValidation type="list" allowBlank="1" sqref="B10" xr:uid="{00000000-0002-0000-0700-000000000000}">
      <formula1>"Unitaria,Integración,Funcional,Aceptación,Regresión,No funcional"</formula1>
      <formula2>0</formula2>
    </dataValidation>
    <dataValidation type="list" allowBlank="1" sqref="D19:D39" xr:uid="{00000000-0002-0000-0700-000001000000}">
      <formula1>"Positivo (+),Negativo (-)"</formula1>
      <formula2>0</formula2>
    </dataValidation>
    <dataValidation type="list" allowBlank="1" sqref="F19:F39" xr:uid="{00000000-0002-0000-0700-000002000000}">
      <formula1>"OK,NOK"</formula1>
      <formula2>0</formula2>
    </dataValidation>
    <dataValidation type="list" allowBlank="1" sqref="H19:H39" xr:uid="{00000000-0002-0000-0700-000003000000}">
      <formula1>"Baja,Media,Alta"</formula1>
      <formula2>0</formula2>
    </dataValidation>
  </dataValidations>
  <hyperlinks>
    <hyperlink ref="G19" r:id="rId1" xr:uid="{0542EC71-CB7C-486E-A131-A5617177AB04}"/>
    <hyperlink ref="G22" r:id="rId2" xr:uid="{AC1032F9-02A9-4E6C-AB41-11799DAF19AE}"/>
    <hyperlink ref="G25" r:id="rId3" xr:uid="{A556E3BF-6E2C-4DCD-B00B-DAC8757B53F6}"/>
    <hyperlink ref="G28" r:id="rId4" xr:uid="{4908513D-5755-43A3-81A3-538E91BEED93}"/>
    <hyperlink ref="G31" r:id="rId5" xr:uid="{10C8848E-4C4D-4FD9-973F-83CEFC07B833}"/>
    <hyperlink ref="G34" r:id="rId6" xr:uid="{EB49985C-0B83-4C3F-9732-13E51DFBB4F5}"/>
    <hyperlink ref="G37" r:id="rId7" xr:uid="{9F5C094E-586B-4040-AEEF-FD9345E21767}"/>
  </hyperlinks>
  <pageMargins left="0.75" right="0.75" top="1" bottom="1" header="0.511811023622047" footer="0.511811023622047"/>
  <pageSetup fitToHeight="0" orientation="landscape" horizontalDpi="300" verticalDpi="300"/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43"/>
  <sheetViews>
    <sheetView showGridLines="0" zoomScale="46" zoomScaleNormal="100" workbookViewId="0">
      <pane xSplit="1" ySplit="18" topLeftCell="B21" activePane="bottomRight" state="frozen"/>
      <selection pane="topRight" activeCell="B1" sqref="B1"/>
      <selection pane="bottomLeft" activeCell="A19" sqref="A19"/>
      <selection pane="bottomRight" activeCell="N41" sqref="N41"/>
    </sheetView>
  </sheetViews>
  <sheetFormatPr baseColWidth="10" defaultColWidth="8.6640625" defaultRowHeight="14.4" x14ac:dyDescent="0.3"/>
  <cols>
    <col min="1" max="1" width="34" customWidth="1"/>
    <col min="2" max="2" width="22" customWidth="1"/>
    <col min="3" max="3" width="40" customWidth="1"/>
    <col min="4" max="4" width="14" customWidth="1"/>
    <col min="5" max="5" width="52" customWidth="1"/>
    <col min="6" max="6" width="16" customWidth="1"/>
    <col min="7" max="7" width="36" customWidth="1"/>
    <col min="8" max="8" width="16" customWidth="1"/>
    <col min="9" max="9" width="46" customWidth="1"/>
  </cols>
  <sheetData>
    <row r="1" spans="1:9" ht="33.75" customHeight="1" x14ac:dyDescent="0.3">
      <c r="A1" s="31" t="s">
        <v>404</v>
      </c>
      <c r="B1" s="31"/>
      <c r="C1" s="31"/>
      <c r="D1" s="31"/>
      <c r="E1" s="31"/>
      <c r="F1" s="31"/>
      <c r="G1" s="31"/>
      <c r="H1" s="31"/>
      <c r="I1" s="31"/>
    </row>
    <row r="2" spans="1:9" ht="15" customHeight="1" x14ac:dyDescent="0.3">
      <c r="A2" s="32" t="s">
        <v>315</v>
      </c>
      <c r="B2" s="32"/>
      <c r="C2" s="32"/>
      <c r="D2" s="32"/>
      <c r="E2" s="32"/>
      <c r="F2" s="32"/>
      <c r="G2" s="32"/>
      <c r="H2" s="32"/>
      <c r="I2" s="32"/>
    </row>
    <row r="4" spans="1:9" ht="15" customHeight="1" x14ac:dyDescent="0.3">
      <c r="A4" s="33" t="s">
        <v>83</v>
      </c>
      <c r="B4" s="33"/>
      <c r="C4" s="33"/>
      <c r="E4" s="33" t="s">
        <v>84</v>
      </c>
      <c r="F4" s="33"/>
      <c r="G4" s="33"/>
    </row>
    <row r="5" spans="1:9" ht="15" customHeight="1" x14ac:dyDescent="0.3">
      <c r="A5" s="2" t="s">
        <v>85</v>
      </c>
      <c r="B5" s="28" t="s">
        <v>86</v>
      </c>
      <c r="C5" s="28"/>
      <c r="E5" s="10" t="s">
        <v>87</v>
      </c>
      <c r="F5" s="24">
        <f>COUNTA(A19:A43)</f>
        <v>7</v>
      </c>
      <c r="G5" s="24"/>
    </row>
    <row r="6" spans="1:9" ht="15" customHeight="1" x14ac:dyDescent="0.3">
      <c r="A6" s="2" t="s">
        <v>88</v>
      </c>
      <c r="B6" s="28" t="s">
        <v>405</v>
      </c>
      <c r="C6" s="28"/>
      <c r="E6" s="10" t="s">
        <v>90</v>
      </c>
      <c r="F6" s="24">
        <f>COUNTIF(F19:F43,"OK")+COUNTIF(F19:F43,"NOK")</f>
        <v>7</v>
      </c>
      <c r="G6" s="24"/>
    </row>
    <row r="7" spans="1:9" ht="15" customHeight="1" x14ac:dyDescent="0.3">
      <c r="A7" s="2" t="s">
        <v>91</v>
      </c>
      <c r="B7" s="28" t="s">
        <v>317</v>
      </c>
      <c r="C7" s="28"/>
      <c r="E7" s="10" t="s">
        <v>93</v>
      </c>
      <c r="F7" s="24">
        <f>COUNTIF(F19:F43,"OK")</f>
        <v>7</v>
      </c>
      <c r="G7" s="24"/>
    </row>
    <row r="8" spans="1:9" ht="15" customHeight="1" x14ac:dyDescent="0.3">
      <c r="A8" s="2" t="s">
        <v>94</v>
      </c>
      <c r="B8" s="28"/>
      <c r="C8" s="28"/>
      <c r="E8" s="10" t="s">
        <v>95</v>
      </c>
      <c r="F8" s="24">
        <f>COUNTIF(F19:F43,"NOK")</f>
        <v>0</v>
      </c>
      <c r="G8" s="24"/>
    </row>
    <row r="9" spans="1:9" ht="15" customHeight="1" x14ac:dyDescent="0.3">
      <c r="A9" s="2" t="s">
        <v>96</v>
      </c>
      <c r="B9" s="28"/>
      <c r="C9" s="28"/>
      <c r="E9" s="10" t="s">
        <v>97</v>
      </c>
      <c r="F9" s="29">
        <f>IF(F6=0,0,F7/F6)</f>
        <v>1</v>
      </c>
      <c r="G9" s="29"/>
    </row>
    <row r="10" spans="1:9" ht="15" customHeight="1" x14ac:dyDescent="0.3">
      <c r="A10" s="2" t="s">
        <v>98</v>
      </c>
      <c r="B10" s="28" t="s">
        <v>99</v>
      </c>
      <c r="C10" s="28"/>
      <c r="E10" s="10" t="s">
        <v>100</v>
      </c>
      <c r="F10" s="29">
        <f>IF(F6=0,0,F8/F6)</f>
        <v>0</v>
      </c>
      <c r="G10" s="29"/>
    </row>
    <row r="11" spans="1:9" ht="15" customHeight="1" x14ac:dyDescent="0.3">
      <c r="A11" s="30" t="s">
        <v>101</v>
      </c>
      <c r="B11" s="30"/>
      <c r="C11" s="30"/>
      <c r="E11" s="10" t="s">
        <v>102</v>
      </c>
      <c r="F11" s="24">
        <f>F5-F6</f>
        <v>0</v>
      </c>
      <c r="G11" s="24"/>
    </row>
    <row r="12" spans="1:9" ht="15" customHeight="1" x14ac:dyDescent="0.3">
      <c r="A12" s="2" t="s">
        <v>406</v>
      </c>
      <c r="B12" s="23">
        <f>COUNTIF(A19:A43,"*_CA1_*")</f>
        <v>3</v>
      </c>
      <c r="C12" s="23"/>
      <c r="E12" s="10" t="s">
        <v>104</v>
      </c>
      <c r="F12" s="24">
        <f>COUNTIF(D19:D43,"Positivo*")</f>
        <v>3</v>
      </c>
      <c r="G12" s="24"/>
    </row>
    <row r="13" spans="1:9" ht="15" customHeight="1" x14ac:dyDescent="0.3">
      <c r="A13" s="2" t="s">
        <v>407</v>
      </c>
      <c r="B13" s="23">
        <f>COUNTIF(A19:A43,"*_CA2_*")</f>
        <v>1</v>
      </c>
      <c r="C13" s="23"/>
      <c r="E13" s="10" t="s">
        <v>106</v>
      </c>
      <c r="F13" s="24">
        <f>COUNTIF(D19:D43,"Negativo*")</f>
        <v>4</v>
      </c>
      <c r="G13" s="24"/>
    </row>
    <row r="14" spans="1:9" ht="15" customHeight="1" x14ac:dyDescent="0.3">
      <c r="A14" s="2" t="s">
        <v>408</v>
      </c>
      <c r="B14" s="23">
        <f>COUNTIF(A19:A43,"*_CA3_*")</f>
        <v>3</v>
      </c>
      <c r="C14" s="23"/>
      <c r="E14" s="10" t="s">
        <v>108</v>
      </c>
      <c r="F14" s="24">
        <f>COUNTIF(H19:H43,"Baja")</f>
        <v>0</v>
      </c>
      <c r="G14" s="24"/>
    </row>
    <row r="15" spans="1:9" ht="15" customHeight="1" x14ac:dyDescent="0.3">
      <c r="A15" s="11" t="s">
        <v>109</v>
      </c>
      <c r="B15" s="25">
        <f>COUNTIF(A19:A43,"*_CA4_*")</f>
        <v>0</v>
      </c>
      <c r="C15" s="25"/>
      <c r="E15" s="10" t="s">
        <v>110</v>
      </c>
      <c r="F15" s="24">
        <f>COUNTIF(H19:H43,"Media")</f>
        <v>0</v>
      </c>
      <c r="G15" s="24"/>
    </row>
    <row r="16" spans="1:9" ht="15" customHeight="1" x14ac:dyDescent="0.3">
      <c r="A16" s="12" t="s">
        <v>111</v>
      </c>
      <c r="B16" s="26">
        <f>SUM(B12:B15)</f>
        <v>7</v>
      </c>
      <c r="C16" s="26"/>
      <c r="E16" s="10" t="s">
        <v>112</v>
      </c>
      <c r="F16" s="24">
        <f>COUNTIF(H19:H43,"Alta")</f>
        <v>0</v>
      </c>
      <c r="G16" s="24"/>
    </row>
    <row r="17" spans="1:9" ht="15" customHeight="1" x14ac:dyDescent="0.3">
      <c r="A17" s="27" t="s">
        <v>113</v>
      </c>
      <c r="B17" s="27"/>
      <c r="C17" s="27"/>
      <c r="D17" s="27"/>
      <c r="E17" s="27"/>
      <c r="F17" s="27"/>
      <c r="G17" s="27"/>
      <c r="H17" s="27"/>
      <c r="I17" s="27"/>
    </row>
    <row r="18" spans="1:9" ht="33.75" customHeight="1" x14ac:dyDescent="0.3">
      <c r="A18" s="4" t="s">
        <v>16</v>
      </c>
      <c r="B18" s="4" t="s">
        <v>114</v>
      </c>
      <c r="C18" s="4" t="s">
        <v>115</v>
      </c>
      <c r="D18" s="4" t="s">
        <v>20</v>
      </c>
      <c r="E18" s="4" t="s">
        <v>22</v>
      </c>
      <c r="F18" s="4" t="s">
        <v>116</v>
      </c>
      <c r="G18" s="4" t="s">
        <v>117</v>
      </c>
      <c r="H18" s="4" t="s">
        <v>118</v>
      </c>
      <c r="I18" s="4" t="s">
        <v>24</v>
      </c>
    </row>
    <row r="19" spans="1:9" ht="18.75" customHeight="1" x14ac:dyDescent="0.3">
      <c r="A19" s="15" t="s">
        <v>409</v>
      </c>
      <c r="B19" s="13" t="s">
        <v>322</v>
      </c>
      <c r="C19" s="13" t="s">
        <v>410</v>
      </c>
      <c r="D19" s="16" t="s">
        <v>122</v>
      </c>
      <c r="E19" s="17" t="s">
        <v>411</v>
      </c>
      <c r="F19" s="18" t="s">
        <v>57</v>
      </c>
      <c r="G19" s="35" t="s">
        <v>481</v>
      </c>
      <c r="H19" s="18"/>
      <c r="I19" s="17" t="s">
        <v>412</v>
      </c>
    </row>
    <row r="20" spans="1:9" ht="18.75" customHeight="1" x14ac:dyDescent="0.3">
      <c r="A20" s="15"/>
      <c r="B20" s="13" t="s">
        <v>326</v>
      </c>
      <c r="C20" s="13" t="s">
        <v>327</v>
      </c>
      <c r="D20" s="16"/>
      <c r="E20" s="17"/>
      <c r="F20" s="18"/>
      <c r="G20" s="19"/>
      <c r="H20" s="18"/>
      <c r="I20" s="17"/>
    </row>
    <row r="21" spans="1:9" ht="18.75" customHeight="1" x14ac:dyDescent="0.3">
      <c r="A21" s="15"/>
      <c r="B21" s="13" t="s">
        <v>328</v>
      </c>
      <c r="C21" s="13" t="s">
        <v>329</v>
      </c>
      <c r="D21" s="16"/>
      <c r="E21" s="17"/>
      <c r="F21" s="18"/>
      <c r="G21" s="19"/>
      <c r="H21" s="18"/>
      <c r="I21" s="17"/>
    </row>
    <row r="22" spans="1:9" ht="18.75" customHeight="1" x14ac:dyDescent="0.3">
      <c r="A22" s="15"/>
      <c r="B22" s="13" t="s">
        <v>330</v>
      </c>
      <c r="C22" s="13" t="s">
        <v>331</v>
      </c>
      <c r="D22" s="16"/>
      <c r="E22" s="17"/>
      <c r="F22" s="18"/>
      <c r="G22" s="19"/>
      <c r="H22" s="18"/>
      <c r="I22" s="17"/>
    </row>
    <row r="23" spans="1:9" ht="18.75" customHeight="1" x14ac:dyDescent="0.3">
      <c r="A23" s="20" t="s">
        <v>413</v>
      </c>
      <c r="B23" s="14" t="s">
        <v>322</v>
      </c>
      <c r="C23" s="14" t="s">
        <v>410</v>
      </c>
      <c r="D23" s="21" t="s">
        <v>122</v>
      </c>
      <c r="E23" s="22" t="s">
        <v>411</v>
      </c>
      <c r="F23" s="18" t="s">
        <v>57</v>
      </c>
      <c r="G23" s="35" t="s">
        <v>481</v>
      </c>
      <c r="H23" s="18"/>
      <c r="I23" s="22" t="s">
        <v>414</v>
      </c>
    </row>
    <row r="24" spans="1:9" ht="18.75" customHeight="1" x14ac:dyDescent="0.3">
      <c r="A24" s="20"/>
      <c r="B24" s="14" t="s">
        <v>326</v>
      </c>
      <c r="C24" s="14" t="s">
        <v>327</v>
      </c>
      <c r="D24" s="21"/>
      <c r="E24" s="22"/>
      <c r="F24" s="18"/>
      <c r="G24" s="19"/>
      <c r="H24" s="18"/>
      <c r="I24" s="22"/>
    </row>
    <row r="25" spans="1:9" ht="18.75" customHeight="1" x14ac:dyDescent="0.3">
      <c r="A25" s="20"/>
      <c r="B25" s="14" t="s">
        <v>328</v>
      </c>
      <c r="C25" s="14" t="s">
        <v>329</v>
      </c>
      <c r="D25" s="21"/>
      <c r="E25" s="22"/>
      <c r="F25" s="18"/>
      <c r="G25" s="19"/>
      <c r="H25" s="18"/>
      <c r="I25" s="22"/>
    </row>
    <row r="26" spans="1:9" ht="18.75" customHeight="1" x14ac:dyDescent="0.3">
      <c r="A26" s="20"/>
      <c r="B26" s="14" t="s">
        <v>330</v>
      </c>
      <c r="C26" s="14" t="s">
        <v>331</v>
      </c>
      <c r="D26" s="21"/>
      <c r="E26" s="22"/>
      <c r="F26" s="18"/>
      <c r="G26" s="19"/>
      <c r="H26" s="18"/>
      <c r="I26" s="22"/>
    </row>
    <row r="27" spans="1:9" ht="18.75" customHeight="1" x14ac:dyDescent="0.3">
      <c r="A27" s="20"/>
      <c r="B27" s="14" t="s">
        <v>415</v>
      </c>
      <c r="C27" s="14" t="s">
        <v>416</v>
      </c>
      <c r="D27" s="21"/>
      <c r="E27" s="22"/>
      <c r="F27" s="18"/>
      <c r="G27" s="19"/>
      <c r="H27" s="18"/>
      <c r="I27" s="22"/>
    </row>
    <row r="28" spans="1:9" ht="18.75" customHeight="1" x14ac:dyDescent="0.3">
      <c r="A28" s="15" t="s">
        <v>417</v>
      </c>
      <c r="B28" s="13" t="s">
        <v>322</v>
      </c>
      <c r="C28" s="13" t="s">
        <v>410</v>
      </c>
      <c r="D28" s="16" t="s">
        <v>122</v>
      </c>
      <c r="E28" s="17" t="s">
        <v>411</v>
      </c>
      <c r="F28" s="18" t="s">
        <v>57</v>
      </c>
      <c r="G28" s="35" t="s">
        <v>481</v>
      </c>
      <c r="H28" s="18"/>
      <c r="I28" s="17" t="s">
        <v>418</v>
      </c>
    </row>
    <row r="29" spans="1:9" ht="18.75" customHeight="1" x14ac:dyDescent="0.3">
      <c r="A29" s="15"/>
      <c r="B29" s="13" t="s">
        <v>326</v>
      </c>
      <c r="C29" s="13" t="s">
        <v>327</v>
      </c>
      <c r="D29" s="16"/>
      <c r="E29" s="17"/>
      <c r="F29" s="18"/>
      <c r="G29" s="19"/>
      <c r="H29" s="18"/>
      <c r="I29" s="17"/>
    </row>
    <row r="30" spans="1:9" ht="18.75" customHeight="1" x14ac:dyDescent="0.3">
      <c r="A30" s="15"/>
      <c r="B30" s="13" t="s">
        <v>328</v>
      </c>
      <c r="C30" s="13" t="s">
        <v>419</v>
      </c>
      <c r="D30" s="16"/>
      <c r="E30" s="17"/>
      <c r="F30" s="18"/>
      <c r="G30" s="19"/>
      <c r="H30" s="18"/>
      <c r="I30" s="17"/>
    </row>
    <row r="31" spans="1:9" ht="18.75" customHeight="1" x14ac:dyDescent="0.3">
      <c r="A31" s="15"/>
      <c r="B31" s="13" t="s">
        <v>330</v>
      </c>
      <c r="C31" s="13" t="s">
        <v>331</v>
      </c>
      <c r="D31" s="16"/>
      <c r="E31" s="17"/>
      <c r="F31" s="18"/>
      <c r="G31" s="19"/>
      <c r="H31" s="18"/>
      <c r="I31" s="17"/>
    </row>
    <row r="32" spans="1:9" ht="18.75" customHeight="1" x14ac:dyDescent="0.3">
      <c r="A32" s="15"/>
      <c r="B32" s="13" t="s">
        <v>415</v>
      </c>
      <c r="C32" s="13" t="s">
        <v>416</v>
      </c>
      <c r="D32" s="16"/>
      <c r="E32" s="17"/>
      <c r="F32" s="18"/>
      <c r="G32" s="19"/>
      <c r="H32" s="18"/>
      <c r="I32" s="17"/>
    </row>
    <row r="33" spans="1:9" ht="27" customHeight="1" x14ac:dyDescent="0.3">
      <c r="A33" s="20" t="s">
        <v>420</v>
      </c>
      <c r="B33" s="14" t="s">
        <v>322</v>
      </c>
      <c r="C33" s="14" t="s">
        <v>421</v>
      </c>
      <c r="D33" s="21" t="s">
        <v>160</v>
      </c>
      <c r="E33" s="22" t="s">
        <v>422</v>
      </c>
      <c r="F33" s="18" t="s">
        <v>57</v>
      </c>
      <c r="G33" s="35" t="s">
        <v>481</v>
      </c>
      <c r="H33" s="18"/>
      <c r="I33" s="22" t="s">
        <v>423</v>
      </c>
    </row>
    <row r="34" spans="1:9" ht="27" customHeight="1" x14ac:dyDescent="0.3">
      <c r="A34" s="20"/>
      <c r="B34" s="14" t="s">
        <v>326</v>
      </c>
      <c r="C34" s="14" t="s">
        <v>424</v>
      </c>
      <c r="D34" s="21"/>
      <c r="E34" s="22"/>
      <c r="F34" s="18"/>
      <c r="G34" s="19"/>
      <c r="H34" s="18"/>
      <c r="I34" s="22"/>
    </row>
    <row r="35" spans="1:9" ht="27" customHeight="1" x14ac:dyDescent="0.3">
      <c r="A35" s="20"/>
      <c r="B35" s="14" t="s">
        <v>328</v>
      </c>
      <c r="C35" s="14" t="s">
        <v>329</v>
      </c>
      <c r="D35" s="21"/>
      <c r="E35" s="22"/>
      <c r="F35" s="18"/>
      <c r="G35" s="19"/>
      <c r="H35" s="18"/>
      <c r="I35" s="22"/>
    </row>
    <row r="36" spans="1:9" ht="18.75" customHeight="1" x14ac:dyDescent="0.3">
      <c r="A36" s="15" t="s">
        <v>425</v>
      </c>
      <c r="B36" s="13" t="s">
        <v>322</v>
      </c>
      <c r="C36" s="13" t="s">
        <v>159</v>
      </c>
      <c r="D36" s="16" t="s">
        <v>160</v>
      </c>
      <c r="E36" s="17" t="s">
        <v>426</v>
      </c>
      <c r="F36" s="18" t="s">
        <v>57</v>
      </c>
      <c r="G36" s="35" t="s">
        <v>481</v>
      </c>
      <c r="H36" s="18"/>
      <c r="I36" s="17" t="s">
        <v>427</v>
      </c>
    </row>
    <row r="37" spans="1:9" ht="18.75" customHeight="1" x14ac:dyDescent="0.3">
      <c r="A37" s="15"/>
      <c r="B37" s="13" t="s">
        <v>326</v>
      </c>
      <c r="C37" s="13" t="s">
        <v>327</v>
      </c>
      <c r="D37" s="16"/>
      <c r="E37" s="17"/>
      <c r="F37" s="18"/>
      <c r="G37" s="19"/>
      <c r="H37" s="18"/>
      <c r="I37" s="17"/>
    </row>
    <row r="38" spans="1:9" ht="18.75" customHeight="1" x14ac:dyDescent="0.3">
      <c r="A38" s="15"/>
      <c r="B38" s="13" t="s">
        <v>328</v>
      </c>
      <c r="C38" s="13" t="s">
        <v>329</v>
      </c>
      <c r="D38" s="16"/>
      <c r="E38" s="17"/>
      <c r="F38" s="18"/>
      <c r="G38" s="19"/>
      <c r="H38" s="18"/>
      <c r="I38" s="17"/>
    </row>
    <row r="39" spans="1:9" ht="18.75" customHeight="1" x14ac:dyDescent="0.3">
      <c r="A39" s="20" t="s">
        <v>428</v>
      </c>
      <c r="B39" s="14" t="s">
        <v>322</v>
      </c>
      <c r="C39" s="14" t="s">
        <v>410</v>
      </c>
      <c r="D39" s="21" t="s">
        <v>160</v>
      </c>
      <c r="E39" s="22" t="s">
        <v>429</v>
      </c>
      <c r="F39" s="18" t="s">
        <v>57</v>
      </c>
      <c r="G39" s="35" t="s">
        <v>481</v>
      </c>
      <c r="H39" s="18"/>
      <c r="I39" s="22" t="s">
        <v>430</v>
      </c>
    </row>
    <row r="40" spans="1:9" ht="18.75" customHeight="1" x14ac:dyDescent="0.3">
      <c r="A40" s="20"/>
      <c r="B40" s="14" t="s">
        <v>326</v>
      </c>
      <c r="C40" s="14" t="s">
        <v>159</v>
      </c>
      <c r="D40" s="21"/>
      <c r="E40" s="22"/>
      <c r="F40" s="18"/>
      <c r="G40" s="19"/>
      <c r="H40" s="18"/>
      <c r="I40" s="22"/>
    </row>
    <row r="41" spans="1:9" ht="18.75" customHeight="1" x14ac:dyDescent="0.3">
      <c r="A41" s="20"/>
      <c r="B41" s="14" t="s">
        <v>328</v>
      </c>
      <c r="C41" s="14" t="s">
        <v>329</v>
      </c>
      <c r="D41" s="21"/>
      <c r="E41" s="22"/>
      <c r="F41" s="18"/>
      <c r="G41" s="19"/>
      <c r="H41" s="18"/>
      <c r="I41" s="22"/>
    </row>
    <row r="42" spans="1:9" ht="27.75" customHeight="1" x14ac:dyDescent="0.3">
      <c r="A42" s="15" t="s">
        <v>431</v>
      </c>
      <c r="B42" s="13" t="s">
        <v>322</v>
      </c>
      <c r="C42" s="13" t="s">
        <v>410</v>
      </c>
      <c r="D42" s="16" t="s">
        <v>160</v>
      </c>
      <c r="E42" s="17" t="s">
        <v>432</v>
      </c>
      <c r="F42" s="18" t="s">
        <v>57</v>
      </c>
      <c r="G42" s="35" t="s">
        <v>481</v>
      </c>
      <c r="H42" s="18"/>
      <c r="I42" s="17" t="s">
        <v>433</v>
      </c>
    </row>
    <row r="43" spans="1:9" ht="27.75" customHeight="1" x14ac:dyDescent="0.3">
      <c r="A43" s="15"/>
      <c r="B43" s="13" t="s">
        <v>326</v>
      </c>
      <c r="C43" s="13" t="s">
        <v>327</v>
      </c>
      <c r="D43" s="16"/>
      <c r="E43" s="17"/>
      <c r="F43" s="18"/>
      <c r="G43" s="19"/>
      <c r="H43" s="18"/>
      <c r="I43" s="17"/>
    </row>
  </sheetData>
  <mergeCells count="78">
    <mergeCell ref="A1:I1"/>
    <mergeCell ref="A2:I2"/>
    <mergeCell ref="A4:C4"/>
    <mergeCell ref="E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A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A17:I17"/>
    <mergeCell ref="H19:H22"/>
    <mergeCell ref="I19:I22"/>
    <mergeCell ref="A23:A27"/>
    <mergeCell ref="D23:D27"/>
    <mergeCell ref="E23:E27"/>
    <mergeCell ref="F23:F27"/>
    <mergeCell ref="G23:G27"/>
    <mergeCell ref="H23:H27"/>
    <mergeCell ref="I23:I27"/>
    <mergeCell ref="A19:A22"/>
    <mergeCell ref="D19:D22"/>
    <mergeCell ref="E19:E22"/>
    <mergeCell ref="F19:F22"/>
    <mergeCell ref="G19:G22"/>
    <mergeCell ref="H28:H32"/>
    <mergeCell ref="I28:I32"/>
    <mergeCell ref="A33:A35"/>
    <mergeCell ref="D33:D35"/>
    <mergeCell ref="E33:E35"/>
    <mergeCell ref="F33:F35"/>
    <mergeCell ref="G33:G35"/>
    <mergeCell ref="H33:H35"/>
    <mergeCell ref="I33:I35"/>
    <mergeCell ref="A28:A32"/>
    <mergeCell ref="D28:D32"/>
    <mergeCell ref="E28:E32"/>
    <mergeCell ref="F28:F32"/>
    <mergeCell ref="G28:G32"/>
    <mergeCell ref="H36:H38"/>
    <mergeCell ref="I36:I38"/>
    <mergeCell ref="A39:A41"/>
    <mergeCell ref="D39:D41"/>
    <mergeCell ref="E39:E41"/>
    <mergeCell ref="F39:F41"/>
    <mergeCell ref="G39:G41"/>
    <mergeCell ref="H39:H41"/>
    <mergeCell ref="I39:I41"/>
    <mergeCell ref="A36:A38"/>
    <mergeCell ref="D36:D38"/>
    <mergeCell ref="E36:E38"/>
    <mergeCell ref="F36:F38"/>
    <mergeCell ref="G36:G38"/>
    <mergeCell ref="H42:H43"/>
    <mergeCell ref="I42:I43"/>
    <mergeCell ref="A42:A43"/>
    <mergeCell ref="D42:D43"/>
    <mergeCell ref="E42:E43"/>
    <mergeCell ref="F42:F43"/>
    <mergeCell ref="G42:G43"/>
  </mergeCells>
  <conditionalFormatting sqref="F19:F43">
    <cfRule type="cellIs" dxfId="5" priority="2" operator="equal">
      <formula>"OK"</formula>
    </cfRule>
    <cfRule type="cellIs" dxfId="4" priority="3" operator="equal">
      <formula>"NOK"</formula>
    </cfRule>
  </conditionalFormatting>
  <dataValidations count="4">
    <dataValidation type="list" allowBlank="1" sqref="B10" xr:uid="{00000000-0002-0000-0800-000000000000}">
      <formula1>"Unitaria,Integración,Funcional,Aceptación,Regresión,No funcional"</formula1>
      <formula2>0</formula2>
    </dataValidation>
    <dataValidation type="list" allowBlank="1" sqref="D19:D43" xr:uid="{00000000-0002-0000-0800-000001000000}">
      <formula1>"Positivo (+),Negativo (-)"</formula1>
      <formula2>0</formula2>
    </dataValidation>
    <dataValidation type="list" allowBlank="1" sqref="F19:F43" xr:uid="{00000000-0002-0000-0800-000002000000}">
      <formula1>"OK,NOK"</formula1>
      <formula2>0</formula2>
    </dataValidation>
    <dataValidation type="list" allowBlank="1" sqref="H19:H43" xr:uid="{00000000-0002-0000-0800-000003000000}">
      <formula1>"Baja,Media,Alta"</formula1>
      <formula2>0</formula2>
    </dataValidation>
  </dataValidations>
  <hyperlinks>
    <hyperlink ref="G19" r:id="rId1" xr:uid="{ACC0C68A-BC06-4567-ADB6-24368A8A4439}"/>
    <hyperlink ref="G23" r:id="rId2" xr:uid="{7AB6BB04-E2DA-4E43-AD2C-3B2B5C874C89}"/>
    <hyperlink ref="G28" r:id="rId3" xr:uid="{2D563458-30AE-4222-A673-0C506F52CAF9}"/>
    <hyperlink ref="G33" r:id="rId4" xr:uid="{4CF3A73A-D715-4C71-A77B-3B4799752701}"/>
    <hyperlink ref="G36" r:id="rId5" xr:uid="{477C1F85-E3DF-4122-B354-E44989180B92}"/>
    <hyperlink ref="G39" r:id="rId6" xr:uid="{5113A239-7FF8-413F-B58E-DF7AF9A240DC}"/>
    <hyperlink ref="G42" r:id="rId7" xr:uid="{2AE83019-5E26-43A7-8E27-32A4D916D0B8}"/>
  </hyperlinks>
  <pageMargins left="0.75" right="0.75" top="1" bottom="1" header="0.511811023622047" footer="0.511811023622047"/>
  <pageSetup fitToHeight="0" orientation="landscape" horizontalDpi="300" verticalDpi="300"/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42"/>
  <sheetViews>
    <sheetView showGridLines="0" tabSelected="1" zoomScale="49" zoomScaleNormal="100" workbookViewId="0">
      <pane xSplit="1" ySplit="18" topLeftCell="B19" activePane="bottomRight" state="frozen"/>
      <selection pane="topRight" activeCell="B1" sqref="B1"/>
      <selection pane="bottomLeft" activeCell="A19" sqref="A19"/>
      <selection pane="bottomRight" activeCell="O28" sqref="O28"/>
    </sheetView>
  </sheetViews>
  <sheetFormatPr baseColWidth="10" defaultColWidth="8.6640625" defaultRowHeight="14.4" x14ac:dyDescent="0.3"/>
  <cols>
    <col min="1" max="1" width="34" customWidth="1"/>
    <col min="2" max="2" width="22" customWidth="1"/>
    <col min="3" max="3" width="40" customWidth="1"/>
    <col min="4" max="4" width="14" customWidth="1"/>
    <col min="5" max="5" width="52" customWidth="1"/>
    <col min="6" max="6" width="16" customWidth="1"/>
    <col min="7" max="7" width="36" customWidth="1"/>
    <col min="8" max="8" width="16" customWidth="1"/>
    <col min="9" max="9" width="46" customWidth="1"/>
  </cols>
  <sheetData>
    <row r="1" spans="1:9" ht="33.75" customHeight="1" x14ac:dyDescent="0.3">
      <c r="A1" s="31" t="s">
        <v>434</v>
      </c>
      <c r="B1" s="31"/>
      <c r="C1" s="31"/>
      <c r="D1" s="31"/>
      <c r="E1" s="31"/>
      <c r="F1" s="31"/>
      <c r="G1" s="31"/>
      <c r="H1" s="31"/>
      <c r="I1" s="31"/>
    </row>
    <row r="2" spans="1:9" ht="15" customHeight="1" x14ac:dyDescent="0.3">
      <c r="A2" s="32" t="s">
        <v>435</v>
      </c>
      <c r="B2" s="32"/>
      <c r="C2" s="32"/>
      <c r="D2" s="32"/>
      <c r="E2" s="32"/>
      <c r="F2" s="32"/>
      <c r="G2" s="32"/>
      <c r="H2" s="32"/>
      <c r="I2" s="32"/>
    </row>
    <row r="4" spans="1:9" ht="15" customHeight="1" x14ac:dyDescent="0.3">
      <c r="A4" s="33" t="s">
        <v>83</v>
      </c>
      <c r="B4" s="33"/>
      <c r="C4" s="33"/>
      <c r="E4" s="33" t="s">
        <v>84</v>
      </c>
      <c r="F4" s="33"/>
      <c r="G4" s="33"/>
    </row>
    <row r="5" spans="1:9" ht="15" customHeight="1" x14ac:dyDescent="0.3">
      <c r="A5" s="2" t="s">
        <v>85</v>
      </c>
      <c r="B5" s="28" t="s">
        <v>86</v>
      </c>
      <c r="C5" s="28"/>
      <c r="E5" s="10" t="s">
        <v>87</v>
      </c>
      <c r="F5" s="24">
        <f>COUNTA(A19:A42)</f>
        <v>6</v>
      </c>
      <c r="G5" s="24"/>
    </row>
    <row r="6" spans="1:9" ht="15" customHeight="1" x14ac:dyDescent="0.3">
      <c r="A6" s="2" t="s">
        <v>88</v>
      </c>
      <c r="B6" s="28" t="s">
        <v>436</v>
      </c>
      <c r="C6" s="28"/>
      <c r="E6" s="10" t="s">
        <v>90</v>
      </c>
      <c r="F6" s="24">
        <f>COUNTIF(F19:F42,"OK")+COUNTIF(F19:F42,"NOK")</f>
        <v>6</v>
      </c>
      <c r="G6" s="24"/>
    </row>
    <row r="7" spans="1:9" ht="15" customHeight="1" x14ac:dyDescent="0.3">
      <c r="A7" s="2" t="s">
        <v>91</v>
      </c>
      <c r="B7" s="28" t="s">
        <v>317</v>
      </c>
      <c r="C7" s="28"/>
      <c r="E7" s="10" t="s">
        <v>93</v>
      </c>
      <c r="F7" s="24">
        <f>COUNTIF(F19:F42,"OK")</f>
        <v>6</v>
      </c>
      <c r="G7" s="24"/>
    </row>
    <row r="8" spans="1:9" ht="15" customHeight="1" x14ac:dyDescent="0.3">
      <c r="A8" s="2" t="s">
        <v>94</v>
      </c>
      <c r="B8" s="28"/>
      <c r="C8" s="28"/>
      <c r="E8" s="10" t="s">
        <v>95</v>
      </c>
      <c r="F8" s="24">
        <f>COUNTIF(F19:F42,"NOK")</f>
        <v>0</v>
      </c>
      <c r="G8" s="24"/>
    </row>
    <row r="9" spans="1:9" ht="15" customHeight="1" x14ac:dyDescent="0.3">
      <c r="A9" s="2" t="s">
        <v>96</v>
      </c>
      <c r="B9" s="28"/>
      <c r="C9" s="28"/>
      <c r="E9" s="10" t="s">
        <v>97</v>
      </c>
      <c r="F9" s="29">
        <f>IF(F6=0,0,F7/F6)</f>
        <v>1</v>
      </c>
      <c r="G9" s="29"/>
    </row>
    <row r="10" spans="1:9" ht="15" customHeight="1" x14ac:dyDescent="0.3">
      <c r="A10" s="2" t="s">
        <v>98</v>
      </c>
      <c r="B10" s="28" t="s">
        <v>99</v>
      </c>
      <c r="C10" s="28"/>
      <c r="E10" s="10" t="s">
        <v>100</v>
      </c>
      <c r="F10" s="29">
        <f>IF(F6=0,0,F8/F6)</f>
        <v>0</v>
      </c>
      <c r="G10" s="29"/>
    </row>
    <row r="11" spans="1:9" ht="15" customHeight="1" x14ac:dyDescent="0.3">
      <c r="A11" s="30" t="s">
        <v>101</v>
      </c>
      <c r="B11" s="30"/>
      <c r="C11" s="30"/>
      <c r="E11" s="10" t="s">
        <v>102</v>
      </c>
      <c r="F11" s="24">
        <f>F5-F6</f>
        <v>0</v>
      </c>
      <c r="G11" s="24"/>
    </row>
    <row r="12" spans="1:9" ht="15" customHeight="1" x14ac:dyDescent="0.3">
      <c r="A12" s="2" t="s">
        <v>437</v>
      </c>
      <c r="B12" s="23">
        <f>COUNTIF(A19:A42,"*_CA1_*")</f>
        <v>2</v>
      </c>
      <c r="C12" s="23"/>
      <c r="E12" s="10" t="s">
        <v>104</v>
      </c>
      <c r="F12" s="24">
        <f>COUNTIF(D19:D42,"Positivo*")</f>
        <v>4</v>
      </c>
      <c r="G12" s="24"/>
    </row>
    <row r="13" spans="1:9" ht="15" customHeight="1" x14ac:dyDescent="0.3">
      <c r="A13" s="2" t="s">
        <v>438</v>
      </c>
      <c r="B13" s="23">
        <f>COUNTIF(A19:A42,"*_CA2_*")</f>
        <v>1</v>
      </c>
      <c r="C13" s="23"/>
      <c r="E13" s="10" t="s">
        <v>106</v>
      </c>
      <c r="F13" s="24">
        <f>COUNTIF(D19:D42,"Negativo*")</f>
        <v>2</v>
      </c>
      <c r="G13" s="24"/>
    </row>
    <row r="14" spans="1:9" ht="15" customHeight="1" x14ac:dyDescent="0.3">
      <c r="A14" s="2" t="s">
        <v>439</v>
      </c>
      <c r="B14" s="23">
        <f>COUNTIF(A19:A42,"*_CA3_*")</f>
        <v>1</v>
      </c>
      <c r="C14" s="23"/>
      <c r="E14" s="10" t="s">
        <v>108</v>
      </c>
      <c r="F14" s="24">
        <f>COUNTIF(H19:H42,"Baja")</f>
        <v>0</v>
      </c>
      <c r="G14" s="24"/>
    </row>
    <row r="15" spans="1:9" ht="15" customHeight="1" x14ac:dyDescent="0.3">
      <c r="A15" s="11" t="s">
        <v>440</v>
      </c>
      <c r="B15" s="25">
        <f>COUNTIF(A19:A42,"*_CA4_*")</f>
        <v>2</v>
      </c>
      <c r="C15" s="25"/>
      <c r="E15" s="10" t="s">
        <v>110</v>
      </c>
      <c r="F15" s="24">
        <f>COUNTIF(H19:H42,"Media")</f>
        <v>0</v>
      </c>
      <c r="G15" s="24"/>
    </row>
    <row r="16" spans="1:9" ht="15" customHeight="1" x14ac:dyDescent="0.3">
      <c r="A16" s="12" t="s">
        <v>111</v>
      </c>
      <c r="B16" s="26">
        <f>SUM(B12:B15)</f>
        <v>6</v>
      </c>
      <c r="C16" s="26"/>
      <c r="E16" s="10" t="s">
        <v>112</v>
      </c>
      <c r="F16" s="24">
        <f>COUNTIF(H19:H42,"Alta")</f>
        <v>0</v>
      </c>
      <c r="G16" s="24"/>
    </row>
    <row r="17" spans="1:15" ht="15" customHeight="1" x14ac:dyDescent="0.3">
      <c r="A17" s="27" t="s">
        <v>113</v>
      </c>
      <c r="B17" s="27"/>
      <c r="C17" s="27"/>
      <c r="D17" s="27"/>
      <c r="E17" s="27"/>
      <c r="F17" s="27"/>
      <c r="G17" s="27"/>
      <c r="H17" s="27"/>
      <c r="I17" s="27"/>
    </row>
    <row r="18" spans="1:15" ht="33.75" customHeight="1" x14ac:dyDescent="0.3">
      <c r="A18" s="4" t="s">
        <v>16</v>
      </c>
      <c r="B18" s="4" t="s">
        <v>114</v>
      </c>
      <c r="C18" s="4" t="s">
        <v>115</v>
      </c>
      <c r="D18" s="4" t="s">
        <v>20</v>
      </c>
      <c r="E18" s="4" t="s">
        <v>22</v>
      </c>
      <c r="F18" s="4" t="s">
        <v>116</v>
      </c>
      <c r="G18" s="4" t="s">
        <v>117</v>
      </c>
      <c r="H18" s="4" t="s">
        <v>118</v>
      </c>
      <c r="I18" s="4" t="s">
        <v>24</v>
      </c>
    </row>
    <row r="19" spans="1:15" ht="18.75" customHeight="1" x14ac:dyDescent="0.3">
      <c r="A19" s="15" t="s">
        <v>441</v>
      </c>
      <c r="B19" s="13" t="s">
        <v>442</v>
      </c>
      <c r="C19" s="13" t="s">
        <v>239</v>
      </c>
      <c r="D19" s="16" t="s">
        <v>122</v>
      </c>
      <c r="E19" s="17" t="s">
        <v>443</v>
      </c>
      <c r="F19" s="18" t="s">
        <v>57</v>
      </c>
      <c r="G19" s="35" t="s">
        <v>482</v>
      </c>
      <c r="H19" s="18"/>
      <c r="I19" s="17" t="s">
        <v>444</v>
      </c>
    </row>
    <row r="20" spans="1:15" ht="18.75" customHeight="1" x14ac:dyDescent="0.3">
      <c r="A20" s="15"/>
      <c r="B20" s="13" t="s">
        <v>133</v>
      </c>
      <c r="C20" s="13" t="s">
        <v>445</v>
      </c>
      <c r="D20" s="16"/>
      <c r="E20" s="17"/>
      <c r="F20" s="18"/>
      <c r="G20" s="19"/>
      <c r="H20" s="18"/>
      <c r="I20" s="17"/>
    </row>
    <row r="21" spans="1:15" ht="18.75" customHeight="1" x14ac:dyDescent="0.3">
      <c r="A21" s="15"/>
      <c r="B21" s="13" t="s">
        <v>446</v>
      </c>
      <c r="C21" s="13" t="s">
        <v>447</v>
      </c>
      <c r="D21" s="16"/>
      <c r="E21" s="17"/>
      <c r="F21" s="18"/>
      <c r="G21" s="19"/>
      <c r="H21" s="18"/>
      <c r="I21" s="17"/>
    </row>
    <row r="22" spans="1:15" ht="30" customHeight="1" x14ac:dyDescent="0.3">
      <c r="A22" s="15"/>
      <c r="B22" s="13" t="s">
        <v>448</v>
      </c>
      <c r="C22" s="13" t="s">
        <v>449</v>
      </c>
      <c r="D22" s="16"/>
      <c r="E22" s="17"/>
      <c r="F22" s="18"/>
      <c r="G22" s="19"/>
      <c r="H22" s="18"/>
      <c r="I22" s="17"/>
    </row>
    <row r="23" spans="1:15" ht="18.75" customHeight="1" x14ac:dyDescent="0.3">
      <c r="A23" s="20" t="s">
        <v>450</v>
      </c>
      <c r="B23" s="14" t="s">
        <v>442</v>
      </c>
      <c r="C23" s="14" t="s">
        <v>126</v>
      </c>
      <c r="D23" s="21" t="s">
        <v>122</v>
      </c>
      <c r="E23" s="22" t="s">
        <v>451</v>
      </c>
      <c r="F23" s="18" t="s">
        <v>57</v>
      </c>
      <c r="G23" s="35" t="s">
        <v>482</v>
      </c>
      <c r="H23" s="18"/>
      <c r="I23" s="22" t="s">
        <v>452</v>
      </c>
    </row>
    <row r="24" spans="1:15" ht="18.75" customHeight="1" x14ac:dyDescent="0.3">
      <c r="A24" s="20"/>
      <c r="B24" s="14" t="s">
        <v>133</v>
      </c>
      <c r="C24" s="14" t="s">
        <v>220</v>
      </c>
      <c r="D24" s="21"/>
      <c r="E24" s="22"/>
      <c r="F24" s="18"/>
      <c r="G24" s="19"/>
      <c r="H24" s="18"/>
      <c r="I24" s="22"/>
    </row>
    <row r="25" spans="1:15" ht="18.75" customHeight="1" x14ac:dyDescent="0.3">
      <c r="A25" s="20"/>
      <c r="B25" s="14" t="s">
        <v>446</v>
      </c>
      <c r="C25" s="14" t="s">
        <v>447</v>
      </c>
      <c r="D25" s="21"/>
      <c r="E25" s="22"/>
      <c r="F25" s="18"/>
      <c r="G25" s="19"/>
      <c r="H25" s="18"/>
      <c r="I25" s="22"/>
    </row>
    <row r="26" spans="1:15" ht="18.75" customHeight="1" x14ac:dyDescent="0.3">
      <c r="A26" s="20"/>
      <c r="B26" s="14" t="s">
        <v>448</v>
      </c>
      <c r="C26" s="14" t="s">
        <v>453</v>
      </c>
      <c r="D26" s="21"/>
      <c r="E26" s="22"/>
      <c r="F26" s="18"/>
      <c r="G26" s="19"/>
      <c r="H26" s="18"/>
      <c r="I26" s="22"/>
    </row>
    <row r="27" spans="1:15" ht="18.75" customHeight="1" x14ac:dyDescent="0.3">
      <c r="A27" s="15" t="s">
        <v>454</v>
      </c>
      <c r="B27" s="13" t="s">
        <v>442</v>
      </c>
      <c r="C27" s="13" t="s">
        <v>154</v>
      </c>
      <c r="D27" s="16" t="s">
        <v>160</v>
      </c>
      <c r="E27" s="17" t="s">
        <v>455</v>
      </c>
      <c r="F27" s="18" t="s">
        <v>57</v>
      </c>
      <c r="G27" s="35" t="s">
        <v>482</v>
      </c>
      <c r="H27" s="18"/>
      <c r="I27" s="17" t="s">
        <v>456</v>
      </c>
    </row>
    <row r="28" spans="1:15" ht="18.75" customHeight="1" x14ac:dyDescent="0.3">
      <c r="A28" s="15"/>
      <c r="B28" s="13" t="s">
        <v>133</v>
      </c>
      <c r="C28" s="13" t="s">
        <v>157</v>
      </c>
      <c r="D28" s="16"/>
      <c r="E28" s="17"/>
      <c r="F28" s="18"/>
      <c r="G28" s="19"/>
      <c r="H28" s="18"/>
      <c r="I28" s="17"/>
      <c r="O28" s="36"/>
    </row>
    <row r="29" spans="1:15" ht="18.75" customHeight="1" x14ac:dyDescent="0.3">
      <c r="A29" s="15"/>
      <c r="B29" s="13" t="s">
        <v>446</v>
      </c>
      <c r="C29" s="13" t="s">
        <v>447</v>
      </c>
      <c r="D29" s="16"/>
      <c r="E29" s="17"/>
      <c r="F29" s="18"/>
      <c r="G29" s="19"/>
      <c r="H29" s="18"/>
      <c r="I29" s="17"/>
    </row>
    <row r="30" spans="1:15" ht="18.75" customHeight="1" x14ac:dyDescent="0.3">
      <c r="A30" s="15"/>
      <c r="B30" s="13" t="s">
        <v>448</v>
      </c>
      <c r="C30" s="13" t="s">
        <v>457</v>
      </c>
      <c r="D30" s="16"/>
      <c r="E30" s="17"/>
      <c r="F30" s="18"/>
      <c r="G30" s="19"/>
      <c r="H30" s="18"/>
      <c r="I30" s="17"/>
    </row>
    <row r="31" spans="1:15" ht="20.25" customHeight="1" x14ac:dyDescent="0.3">
      <c r="A31" s="20" t="s">
        <v>458</v>
      </c>
      <c r="B31" s="14" t="s">
        <v>442</v>
      </c>
      <c r="C31" s="14" t="s">
        <v>126</v>
      </c>
      <c r="D31" s="21" t="s">
        <v>160</v>
      </c>
      <c r="E31" s="22" t="s">
        <v>459</v>
      </c>
      <c r="F31" s="18" t="s">
        <v>57</v>
      </c>
      <c r="G31" s="35" t="s">
        <v>482</v>
      </c>
      <c r="H31" s="18"/>
      <c r="I31" s="22" t="s">
        <v>460</v>
      </c>
    </row>
    <row r="32" spans="1:15" ht="20.25" customHeight="1" x14ac:dyDescent="0.3">
      <c r="A32" s="20"/>
      <c r="B32" s="14" t="s">
        <v>133</v>
      </c>
      <c r="C32" s="14" t="s">
        <v>220</v>
      </c>
      <c r="D32" s="21"/>
      <c r="E32" s="22"/>
      <c r="F32" s="18"/>
      <c r="G32" s="19"/>
      <c r="H32" s="18"/>
      <c r="I32" s="22"/>
    </row>
    <row r="33" spans="1:9" ht="20.25" customHeight="1" x14ac:dyDescent="0.3">
      <c r="A33" s="20"/>
      <c r="B33" s="14" t="s">
        <v>446</v>
      </c>
      <c r="C33" s="14" t="s">
        <v>447</v>
      </c>
      <c r="D33" s="21"/>
      <c r="E33" s="22"/>
      <c r="F33" s="18"/>
      <c r="G33" s="19"/>
      <c r="H33" s="18"/>
      <c r="I33" s="22"/>
    </row>
    <row r="34" spans="1:9" ht="20.25" customHeight="1" x14ac:dyDescent="0.3">
      <c r="A34" s="20"/>
      <c r="B34" s="14" t="s">
        <v>448</v>
      </c>
      <c r="C34" s="14" t="s">
        <v>461</v>
      </c>
      <c r="D34" s="21"/>
      <c r="E34" s="22"/>
      <c r="F34" s="18"/>
      <c r="G34" s="19"/>
      <c r="H34" s="18"/>
      <c r="I34" s="22"/>
    </row>
    <row r="35" spans="1:9" ht="18.75" customHeight="1" x14ac:dyDescent="0.3">
      <c r="A35" s="15" t="s">
        <v>462</v>
      </c>
      <c r="B35" s="13" t="s">
        <v>442</v>
      </c>
      <c r="C35" s="13" t="s">
        <v>239</v>
      </c>
      <c r="D35" s="16" t="s">
        <v>122</v>
      </c>
      <c r="E35" s="17" t="s">
        <v>463</v>
      </c>
      <c r="F35" s="18" t="s">
        <v>57</v>
      </c>
      <c r="G35" s="35" t="s">
        <v>482</v>
      </c>
      <c r="H35" s="18"/>
      <c r="I35" s="17" t="s">
        <v>464</v>
      </c>
    </row>
    <row r="36" spans="1:9" ht="18.75" customHeight="1" x14ac:dyDescent="0.3">
      <c r="A36" s="15"/>
      <c r="B36" s="13" t="s">
        <v>133</v>
      </c>
      <c r="C36" s="13" t="s">
        <v>445</v>
      </c>
      <c r="D36" s="16"/>
      <c r="E36" s="17"/>
      <c r="F36" s="18"/>
      <c r="G36" s="19"/>
      <c r="H36" s="18"/>
      <c r="I36" s="17"/>
    </row>
    <row r="37" spans="1:9" ht="18.75" customHeight="1" x14ac:dyDescent="0.3">
      <c r="A37" s="15"/>
      <c r="B37" s="13" t="s">
        <v>446</v>
      </c>
      <c r="C37" s="13" t="s">
        <v>447</v>
      </c>
      <c r="D37" s="16"/>
      <c r="E37" s="17"/>
      <c r="F37" s="18"/>
      <c r="G37" s="19"/>
      <c r="H37" s="18"/>
      <c r="I37" s="17"/>
    </row>
    <row r="38" spans="1:9" ht="30" customHeight="1" x14ac:dyDescent="0.3">
      <c r="A38" s="15"/>
      <c r="B38" s="13" t="s">
        <v>448</v>
      </c>
      <c r="C38" s="13" t="s">
        <v>465</v>
      </c>
      <c r="D38" s="16"/>
      <c r="E38" s="17"/>
      <c r="F38" s="18"/>
      <c r="G38" s="19"/>
      <c r="H38" s="18"/>
      <c r="I38" s="17"/>
    </row>
    <row r="39" spans="1:9" ht="18.75" customHeight="1" x14ac:dyDescent="0.3">
      <c r="A39" s="20" t="s">
        <v>466</v>
      </c>
      <c r="B39" s="14" t="s">
        <v>442</v>
      </c>
      <c r="C39" s="14" t="s">
        <v>239</v>
      </c>
      <c r="D39" s="21" t="s">
        <v>122</v>
      </c>
      <c r="E39" s="22" t="s">
        <v>467</v>
      </c>
      <c r="F39" s="18" t="s">
        <v>57</v>
      </c>
      <c r="G39" s="35" t="s">
        <v>482</v>
      </c>
      <c r="H39" s="18"/>
      <c r="I39" s="22" t="s">
        <v>468</v>
      </c>
    </row>
    <row r="40" spans="1:9" ht="18.75" customHeight="1" x14ac:dyDescent="0.3">
      <c r="A40" s="20"/>
      <c r="B40" s="14" t="s">
        <v>133</v>
      </c>
      <c r="C40" s="14" t="s">
        <v>445</v>
      </c>
      <c r="D40" s="21"/>
      <c r="E40" s="22"/>
      <c r="F40" s="18"/>
      <c r="G40" s="19"/>
      <c r="H40" s="18"/>
      <c r="I40" s="22"/>
    </row>
    <row r="41" spans="1:9" ht="18.75" customHeight="1" x14ac:dyDescent="0.3">
      <c r="A41" s="20"/>
      <c r="B41" s="14" t="s">
        <v>446</v>
      </c>
      <c r="C41" s="14" t="s">
        <v>447</v>
      </c>
      <c r="D41" s="21"/>
      <c r="E41" s="22"/>
      <c r="F41" s="18"/>
      <c r="G41" s="19"/>
      <c r="H41" s="18"/>
      <c r="I41" s="22"/>
    </row>
    <row r="42" spans="1:9" ht="18.75" customHeight="1" x14ac:dyDescent="0.3">
      <c r="A42" s="20"/>
      <c r="B42" s="14" t="s">
        <v>448</v>
      </c>
      <c r="C42" s="14" t="s">
        <v>469</v>
      </c>
      <c r="D42" s="21"/>
      <c r="E42" s="22"/>
      <c r="F42" s="18"/>
      <c r="G42" s="19"/>
      <c r="H42" s="18"/>
      <c r="I42" s="22"/>
    </row>
  </sheetData>
  <mergeCells count="71">
    <mergeCell ref="A1:I1"/>
    <mergeCell ref="A2:I2"/>
    <mergeCell ref="A4:C4"/>
    <mergeCell ref="E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A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A17:I17"/>
    <mergeCell ref="H19:H22"/>
    <mergeCell ref="I19:I22"/>
    <mergeCell ref="A23:A26"/>
    <mergeCell ref="D23:D26"/>
    <mergeCell ref="E23:E26"/>
    <mergeCell ref="F23:F26"/>
    <mergeCell ref="G23:G26"/>
    <mergeCell ref="H23:H26"/>
    <mergeCell ref="I23:I26"/>
    <mergeCell ref="A19:A22"/>
    <mergeCell ref="D19:D22"/>
    <mergeCell ref="E19:E22"/>
    <mergeCell ref="F19:F22"/>
    <mergeCell ref="G19:G22"/>
    <mergeCell ref="H27:H30"/>
    <mergeCell ref="I27:I30"/>
    <mergeCell ref="A31:A34"/>
    <mergeCell ref="D31:D34"/>
    <mergeCell ref="E31:E34"/>
    <mergeCell ref="F31:F34"/>
    <mergeCell ref="G31:G34"/>
    <mergeCell ref="H31:H34"/>
    <mergeCell ref="I31:I34"/>
    <mergeCell ref="A27:A30"/>
    <mergeCell ref="D27:D30"/>
    <mergeCell ref="E27:E30"/>
    <mergeCell ref="F27:F30"/>
    <mergeCell ref="G27:G30"/>
    <mergeCell ref="H35:H38"/>
    <mergeCell ref="I35:I38"/>
    <mergeCell ref="A39:A42"/>
    <mergeCell ref="D39:D42"/>
    <mergeCell ref="E39:E42"/>
    <mergeCell ref="F39:F42"/>
    <mergeCell ref="G39:G42"/>
    <mergeCell ref="H39:H42"/>
    <mergeCell ref="I39:I42"/>
    <mergeCell ref="A35:A38"/>
    <mergeCell ref="D35:D38"/>
    <mergeCell ref="E35:E38"/>
    <mergeCell ref="F35:F38"/>
    <mergeCell ref="G35:G38"/>
  </mergeCells>
  <conditionalFormatting sqref="F19:F42">
    <cfRule type="cellIs" dxfId="3" priority="2" operator="equal">
      <formula>"OK"</formula>
    </cfRule>
    <cfRule type="cellIs" dxfId="2" priority="3" operator="equal">
      <formula>"NOK"</formula>
    </cfRule>
  </conditionalFormatting>
  <dataValidations count="4">
    <dataValidation type="list" allowBlank="1" sqref="B10" xr:uid="{00000000-0002-0000-0900-000000000000}">
      <formula1>"Unitaria,Integración,Funcional,Aceptación,Regresión,No funcional"</formula1>
      <formula2>0</formula2>
    </dataValidation>
    <dataValidation type="list" allowBlank="1" sqref="D19:D42" xr:uid="{00000000-0002-0000-0900-000001000000}">
      <formula1>"Positivo (+),Negativo (-)"</formula1>
      <formula2>0</formula2>
    </dataValidation>
    <dataValidation type="list" allowBlank="1" sqref="F19:F42" xr:uid="{00000000-0002-0000-0900-000002000000}">
      <formula1>"OK,NOK"</formula1>
      <formula2>0</formula2>
    </dataValidation>
    <dataValidation type="list" allowBlank="1" sqref="H19:H42" xr:uid="{00000000-0002-0000-0900-000003000000}">
      <formula1>"Baja,Media,Alta"</formula1>
      <formula2>0</formula2>
    </dataValidation>
  </dataValidations>
  <hyperlinks>
    <hyperlink ref="G19" r:id="rId1" xr:uid="{29DC51A4-82EA-4494-BB07-72A30161693D}"/>
    <hyperlink ref="G23" r:id="rId2" xr:uid="{54E9CF2C-C926-4A8A-80A5-6420BC55F435}"/>
    <hyperlink ref="G27" r:id="rId3" xr:uid="{D60A1786-25E1-4F01-A616-30C7A6F50D7E}"/>
    <hyperlink ref="G31" r:id="rId4" xr:uid="{6E9FFAFA-6C18-45F9-9BB9-815DCC93CBFC}"/>
    <hyperlink ref="G35" r:id="rId5" xr:uid="{8F119DBE-AFB1-4AB7-BA33-BEE4DAA25AD5}"/>
    <hyperlink ref="G39" r:id="rId6" xr:uid="{54BDF08C-C33F-4338-A3B7-25D1F6DD2CE3}"/>
  </hyperlinks>
  <pageMargins left="0.75" right="0.75" top="1" bottom="1" header="0.511811023622047" footer="0.511811023622047"/>
  <pageSetup fitToHeight="0" orientation="landscape" horizontalDpi="300" verticalDpi="300" r:id="rId7"/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58"/>
  <sheetViews>
    <sheetView showGridLines="0" zoomScaleNormal="100" workbookViewId="0">
      <pane xSplit="1" ySplit="18" topLeftCell="B19" activePane="bottomRight" state="frozen"/>
      <selection pane="topRight" activeCell="B1" sqref="B1"/>
      <selection pane="bottomLeft" activeCell="A19" sqref="A19"/>
      <selection pane="bottomRight"/>
    </sheetView>
  </sheetViews>
  <sheetFormatPr baseColWidth="10" defaultColWidth="8.6640625" defaultRowHeight="14.4" x14ac:dyDescent="0.3"/>
  <cols>
    <col min="1" max="1" width="34" customWidth="1"/>
    <col min="2" max="2" width="22" customWidth="1"/>
    <col min="3" max="3" width="40" customWidth="1"/>
    <col min="4" max="4" width="14" customWidth="1"/>
    <col min="5" max="5" width="52" customWidth="1"/>
    <col min="6" max="6" width="16" customWidth="1"/>
    <col min="7" max="7" width="36" customWidth="1"/>
    <col min="8" max="8" width="16" customWidth="1"/>
    <col min="9" max="9" width="46" customWidth="1"/>
  </cols>
  <sheetData>
    <row r="1" spans="1:9" ht="33.75" customHeight="1" x14ac:dyDescent="0.3">
      <c r="A1" s="31" t="s">
        <v>470</v>
      </c>
      <c r="B1" s="31"/>
      <c r="C1" s="31"/>
      <c r="D1" s="31"/>
      <c r="E1" s="31"/>
      <c r="F1" s="31"/>
      <c r="G1" s="31"/>
      <c r="H1" s="31"/>
      <c r="I1" s="31"/>
    </row>
    <row r="2" spans="1:9" ht="15" customHeight="1" x14ac:dyDescent="0.3">
      <c r="A2" s="32" t="s">
        <v>471</v>
      </c>
      <c r="B2" s="32"/>
      <c r="C2" s="32"/>
      <c r="D2" s="32"/>
      <c r="E2" s="32"/>
      <c r="F2" s="32"/>
      <c r="G2" s="32"/>
      <c r="H2" s="32"/>
      <c r="I2" s="32"/>
    </row>
    <row r="4" spans="1:9" ht="15" customHeight="1" x14ac:dyDescent="0.3">
      <c r="A4" s="33" t="s">
        <v>83</v>
      </c>
      <c r="B4" s="33"/>
      <c r="C4" s="33"/>
      <c r="E4" s="33" t="s">
        <v>84</v>
      </c>
      <c r="F4" s="33"/>
      <c r="G4" s="33"/>
    </row>
    <row r="5" spans="1:9" ht="15" customHeight="1" x14ac:dyDescent="0.3">
      <c r="A5" s="2" t="s">
        <v>85</v>
      </c>
      <c r="B5" s="28"/>
      <c r="C5" s="28"/>
      <c r="E5" s="10" t="s">
        <v>87</v>
      </c>
      <c r="F5" s="24">
        <f>COUNTA(A19:A58)</f>
        <v>0</v>
      </c>
      <c r="G5" s="24"/>
    </row>
    <row r="6" spans="1:9" ht="15" customHeight="1" x14ac:dyDescent="0.3">
      <c r="A6" s="2" t="s">
        <v>88</v>
      </c>
      <c r="B6" s="28"/>
      <c r="C6" s="28"/>
      <c r="E6" s="10" t="s">
        <v>90</v>
      </c>
      <c r="F6" s="24">
        <f>COUNTIF(F19:F58,"OK")+COUNTIF(F19:F58,"NOK")</f>
        <v>0</v>
      </c>
      <c r="G6" s="24"/>
    </row>
    <row r="7" spans="1:9" ht="15" customHeight="1" x14ac:dyDescent="0.3">
      <c r="A7" s="2" t="s">
        <v>91</v>
      </c>
      <c r="B7" s="28"/>
      <c r="C7" s="28"/>
      <c r="E7" s="10" t="s">
        <v>93</v>
      </c>
      <c r="F7" s="24">
        <f>COUNTIF(F19:F58,"OK")</f>
        <v>0</v>
      </c>
      <c r="G7" s="24"/>
    </row>
    <row r="8" spans="1:9" ht="15" customHeight="1" x14ac:dyDescent="0.3">
      <c r="A8" s="2" t="s">
        <v>94</v>
      </c>
      <c r="B8" s="28"/>
      <c r="C8" s="28"/>
      <c r="E8" s="10" t="s">
        <v>95</v>
      </c>
      <c r="F8" s="24">
        <f>COUNTIF(F19:F58,"NOK")</f>
        <v>0</v>
      </c>
      <c r="G8" s="24"/>
    </row>
    <row r="9" spans="1:9" ht="15" customHeight="1" x14ac:dyDescent="0.3">
      <c r="A9" s="2" t="s">
        <v>96</v>
      </c>
      <c r="B9" s="28"/>
      <c r="C9" s="28"/>
      <c r="E9" s="10" t="s">
        <v>97</v>
      </c>
      <c r="F9" s="29">
        <f>IF(F6=0,0,F7/F6)</f>
        <v>0</v>
      </c>
      <c r="G9" s="29"/>
    </row>
    <row r="10" spans="1:9" ht="15" customHeight="1" x14ac:dyDescent="0.3">
      <c r="A10" s="2" t="s">
        <v>98</v>
      </c>
      <c r="B10" s="28"/>
      <c r="C10" s="28"/>
      <c r="E10" s="10" t="s">
        <v>100</v>
      </c>
      <c r="F10" s="29">
        <f>IF(F6=0,0,F8/F6)</f>
        <v>0</v>
      </c>
      <c r="G10" s="29"/>
    </row>
    <row r="11" spans="1:9" ht="15" customHeight="1" x14ac:dyDescent="0.3">
      <c r="A11" s="30" t="s">
        <v>101</v>
      </c>
      <c r="B11" s="30"/>
      <c r="C11" s="30"/>
      <c r="E11" s="10" t="s">
        <v>102</v>
      </c>
      <c r="F11" s="24">
        <f>F5-F6</f>
        <v>0</v>
      </c>
      <c r="G11" s="24"/>
    </row>
    <row r="12" spans="1:9" ht="15" customHeight="1" x14ac:dyDescent="0.3">
      <c r="A12" s="2" t="s">
        <v>472</v>
      </c>
      <c r="B12" s="23">
        <f>COUNTIF(A19:A58,"*_CA1_*")</f>
        <v>0</v>
      </c>
      <c r="C12" s="23"/>
      <c r="E12" s="10" t="s">
        <v>104</v>
      </c>
      <c r="F12" s="24">
        <f>COUNTIF(D19:D58,"Positivo*")</f>
        <v>0</v>
      </c>
      <c r="G12" s="24"/>
    </row>
    <row r="13" spans="1:9" ht="15" customHeight="1" x14ac:dyDescent="0.3">
      <c r="A13" s="2" t="s">
        <v>473</v>
      </c>
      <c r="B13" s="23">
        <f>COUNTIF(A19:A58,"*_CA2_*")</f>
        <v>0</v>
      </c>
      <c r="C13" s="23"/>
      <c r="E13" s="10" t="s">
        <v>106</v>
      </c>
      <c r="F13" s="24">
        <f>COUNTIF(D19:D58,"Negativo*")</f>
        <v>0</v>
      </c>
      <c r="G13" s="24"/>
    </row>
    <row r="14" spans="1:9" ht="15" customHeight="1" x14ac:dyDescent="0.3">
      <c r="A14" s="2" t="s">
        <v>474</v>
      </c>
      <c r="B14" s="23">
        <f>COUNTIF(A19:A58,"*_CA3_*")</f>
        <v>0</v>
      </c>
      <c r="C14" s="23"/>
      <c r="E14" s="10" t="s">
        <v>108</v>
      </c>
      <c r="F14" s="24">
        <f>COUNTIF(H19:H58,"Baja")</f>
        <v>0</v>
      </c>
      <c r="G14" s="24"/>
    </row>
    <row r="15" spans="1:9" ht="15" customHeight="1" x14ac:dyDescent="0.3">
      <c r="A15" s="11" t="s">
        <v>109</v>
      </c>
      <c r="B15" s="25">
        <f>COUNTIF(A19:A58,"*_CA4_*")</f>
        <v>0</v>
      </c>
      <c r="C15" s="25"/>
      <c r="E15" s="10" t="s">
        <v>110</v>
      </c>
      <c r="F15" s="24">
        <f>COUNTIF(H19:H58,"Media")</f>
        <v>0</v>
      </c>
      <c r="G15" s="24"/>
    </row>
    <row r="16" spans="1:9" ht="15" customHeight="1" x14ac:dyDescent="0.3">
      <c r="A16" s="12" t="s">
        <v>111</v>
      </c>
      <c r="B16" s="26">
        <f>SUM(B12:B15)</f>
        <v>0</v>
      </c>
      <c r="C16" s="26"/>
      <c r="E16" s="10" t="s">
        <v>112</v>
      </c>
      <c r="F16" s="24">
        <f>COUNTIF(H19:H58,"Alta")</f>
        <v>0</v>
      </c>
      <c r="G16" s="24"/>
    </row>
    <row r="17" spans="1:9" ht="15" customHeight="1" x14ac:dyDescent="0.3">
      <c r="A17" s="27" t="s">
        <v>113</v>
      </c>
      <c r="B17" s="27"/>
      <c r="C17" s="27"/>
      <c r="D17" s="27"/>
      <c r="E17" s="27"/>
      <c r="F17" s="27"/>
      <c r="G17" s="27"/>
      <c r="H17" s="27"/>
      <c r="I17" s="27"/>
    </row>
    <row r="18" spans="1:9" ht="33.75" customHeight="1" x14ac:dyDescent="0.3">
      <c r="A18" s="4" t="s">
        <v>16</v>
      </c>
      <c r="B18" s="4" t="s">
        <v>114</v>
      </c>
      <c r="C18" s="4" t="s">
        <v>115</v>
      </c>
      <c r="D18" s="4" t="s">
        <v>20</v>
      </c>
      <c r="E18" s="4" t="s">
        <v>22</v>
      </c>
      <c r="F18" s="4" t="s">
        <v>116</v>
      </c>
      <c r="G18" s="4" t="s">
        <v>117</v>
      </c>
      <c r="H18" s="4" t="s">
        <v>118</v>
      </c>
      <c r="I18" s="4" t="s">
        <v>24</v>
      </c>
    </row>
    <row r="19" spans="1:9" ht="18.75" customHeight="1" x14ac:dyDescent="0.3">
      <c r="A19" s="17"/>
      <c r="B19" s="13"/>
      <c r="C19" s="13"/>
      <c r="D19" s="16"/>
      <c r="E19" s="17"/>
      <c r="F19" s="18"/>
      <c r="G19" s="19"/>
      <c r="H19" s="18"/>
      <c r="I19" s="17"/>
    </row>
    <row r="20" spans="1:9" ht="18.75" customHeight="1" x14ac:dyDescent="0.3">
      <c r="A20" s="17"/>
      <c r="B20" s="13"/>
      <c r="C20" s="13"/>
      <c r="D20" s="16"/>
      <c r="E20" s="17"/>
      <c r="F20" s="18"/>
      <c r="G20" s="19"/>
      <c r="H20" s="18"/>
      <c r="I20" s="17"/>
    </row>
    <row r="21" spans="1:9" ht="18.75" customHeight="1" x14ac:dyDescent="0.3">
      <c r="A21" s="17"/>
      <c r="B21" s="13"/>
      <c r="C21" s="13"/>
      <c r="D21" s="16"/>
      <c r="E21" s="17"/>
      <c r="F21" s="18"/>
      <c r="G21" s="19"/>
      <c r="H21" s="18"/>
      <c r="I21" s="17"/>
    </row>
    <row r="22" spans="1:9" ht="18.75" customHeight="1" x14ac:dyDescent="0.3">
      <c r="A22" s="17"/>
      <c r="B22" s="13"/>
      <c r="C22" s="13"/>
      <c r="D22" s="16"/>
      <c r="E22" s="17"/>
      <c r="F22" s="18"/>
      <c r="G22" s="19"/>
      <c r="H22" s="18"/>
      <c r="I22" s="17"/>
    </row>
    <row r="23" spans="1:9" ht="18.75" customHeight="1" x14ac:dyDescent="0.3">
      <c r="A23" s="17"/>
      <c r="B23" s="13"/>
      <c r="C23" s="13"/>
      <c r="D23" s="16"/>
      <c r="E23" s="17"/>
      <c r="F23" s="18"/>
      <c r="G23" s="19"/>
      <c r="H23" s="18"/>
      <c r="I23" s="17"/>
    </row>
    <row r="24" spans="1:9" ht="18.75" customHeight="1" x14ac:dyDescent="0.3">
      <c r="A24" s="22"/>
      <c r="B24" s="14"/>
      <c r="C24" s="14"/>
      <c r="D24" s="21"/>
      <c r="E24" s="22"/>
      <c r="F24" s="18"/>
      <c r="G24" s="19"/>
      <c r="H24" s="18"/>
      <c r="I24" s="22"/>
    </row>
    <row r="25" spans="1:9" ht="18.75" customHeight="1" x14ac:dyDescent="0.3">
      <c r="A25" s="22"/>
      <c r="B25" s="14"/>
      <c r="C25" s="14"/>
      <c r="D25" s="21"/>
      <c r="E25" s="22"/>
      <c r="F25" s="18"/>
      <c r="G25" s="19"/>
      <c r="H25" s="18"/>
      <c r="I25" s="22"/>
    </row>
    <row r="26" spans="1:9" ht="18.75" customHeight="1" x14ac:dyDescent="0.3">
      <c r="A26" s="22"/>
      <c r="B26" s="14"/>
      <c r="C26" s="14"/>
      <c r="D26" s="21"/>
      <c r="E26" s="22"/>
      <c r="F26" s="18"/>
      <c r="G26" s="19"/>
      <c r="H26" s="18"/>
      <c r="I26" s="22"/>
    </row>
    <row r="27" spans="1:9" ht="18.75" customHeight="1" x14ac:dyDescent="0.3">
      <c r="A27" s="22"/>
      <c r="B27" s="14"/>
      <c r="C27" s="14"/>
      <c r="D27" s="21"/>
      <c r="E27" s="22"/>
      <c r="F27" s="18"/>
      <c r="G27" s="19"/>
      <c r="H27" s="18"/>
      <c r="I27" s="22"/>
    </row>
    <row r="28" spans="1:9" ht="18.75" customHeight="1" x14ac:dyDescent="0.3">
      <c r="A28" s="22"/>
      <c r="B28" s="14"/>
      <c r="C28" s="14"/>
      <c r="D28" s="21"/>
      <c r="E28" s="22"/>
      <c r="F28" s="18"/>
      <c r="G28" s="19"/>
      <c r="H28" s="18"/>
      <c r="I28" s="22"/>
    </row>
    <row r="29" spans="1:9" ht="18.75" customHeight="1" x14ac:dyDescent="0.3">
      <c r="A29" s="17"/>
      <c r="B29" s="13"/>
      <c r="C29" s="13"/>
      <c r="D29" s="16"/>
      <c r="E29" s="17"/>
      <c r="F29" s="18"/>
      <c r="G29" s="19"/>
      <c r="H29" s="18"/>
      <c r="I29" s="17"/>
    </row>
    <row r="30" spans="1:9" ht="18.75" customHeight="1" x14ac:dyDescent="0.3">
      <c r="A30" s="17"/>
      <c r="B30" s="13"/>
      <c r="C30" s="13"/>
      <c r="D30" s="16"/>
      <c r="E30" s="17"/>
      <c r="F30" s="18"/>
      <c r="G30" s="19"/>
      <c r="H30" s="18"/>
      <c r="I30" s="17"/>
    </row>
    <row r="31" spans="1:9" ht="18.75" customHeight="1" x14ac:dyDescent="0.3">
      <c r="A31" s="17"/>
      <c r="B31" s="13"/>
      <c r="C31" s="13"/>
      <c r="D31" s="16"/>
      <c r="E31" s="17"/>
      <c r="F31" s="18"/>
      <c r="G31" s="19"/>
      <c r="H31" s="18"/>
      <c r="I31" s="17"/>
    </row>
    <row r="32" spans="1:9" ht="18.75" customHeight="1" x14ac:dyDescent="0.3">
      <c r="A32" s="17"/>
      <c r="B32" s="13"/>
      <c r="C32" s="13"/>
      <c r="D32" s="16"/>
      <c r="E32" s="17"/>
      <c r="F32" s="18"/>
      <c r="G32" s="19"/>
      <c r="H32" s="18"/>
      <c r="I32" s="17"/>
    </row>
    <row r="33" spans="1:9" ht="18.75" customHeight="1" x14ac:dyDescent="0.3">
      <c r="A33" s="17"/>
      <c r="B33" s="13"/>
      <c r="C33" s="13"/>
      <c r="D33" s="16"/>
      <c r="E33" s="17"/>
      <c r="F33" s="18"/>
      <c r="G33" s="19"/>
      <c r="H33" s="18"/>
      <c r="I33" s="17"/>
    </row>
    <row r="34" spans="1:9" ht="18.75" customHeight="1" x14ac:dyDescent="0.3">
      <c r="A34" s="22"/>
      <c r="B34" s="14"/>
      <c r="C34" s="14"/>
      <c r="D34" s="21"/>
      <c r="E34" s="22"/>
      <c r="F34" s="18"/>
      <c r="G34" s="19"/>
      <c r="H34" s="18"/>
      <c r="I34" s="22"/>
    </row>
    <row r="35" spans="1:9" ht="18.75" customHeight="1" x14ac:dyDescent="0.3">
      <c r="A35" s="22"/>
      <c r="B35" s="14"/>
      <c r="C35" s="14"/>
      <c r="D35" s="21"/>
      <c r="E35" s="22"/>
      <c r="F35" s="18"/>
      <c r="G35" s="19"/>
      <c r="H35" s="18"/>
      <c r="I35" s="22"/>
    </row>
    <row r="36" spans="1:9" ht="18.75" customHeight="1" x14ac:dyDescent="0.3">
      <c r="A36" s="22"/>
      <c r="B36" s="14"/>
      <c r="C36" s="14"/>
      <c r="D36" s="21"/>
      <c r="E36" s="22"/>
      <c r="F36" s="18"/>
      <c r="G36" s="19"/>
      <c r="H36" s="18"/>
      <c r="I36" s="22"/>
    </row>
    <row r="37" spans="1:9" ht="18.75" customHeight="1" x14ac:dyDescent="0.3">
      <c r="A37" s="22"/>
      <c r="B37" s="14"/>
      <c r="C37" s="14"/>
      <c r="D37" s="21"/>
      <c r="E37" s="22"/>
      <c r="F37" s="18"/>
      <c r="G37" s="19"/>
      <c r="H37" s="18"/>
      <c r="I37" s="22"/>
    </row>
    <row r="38" spans="1:9" ht="18.75" customHeight="1" x14ac:dyDescent="0.3">
      <c r="A38" s="22"/>
      <c r="B38" s="14"/>
      <c r="C38" s="14"/>
      <c r="D38" s="21"/>
      <c r="E38" s="22"/>
      <c r="F38" s="18"/>
      <c r="G38" s="19"/>
      <c r="H38" s="18"/>
      <c r="I38" s="22"/>
    </row>
    <row r="39" spans="1:9" ht="18.75" customHeight="1" x14ac:dyDescent="0.3">
      <c r="A39" s="17"/>
      <c r="B39" s="13"/>
      <c r="C39" s="13"/>
      <c r="D39" s="16"/>
      <c r="E39" s="17"/>
      <c r="F39" s="18"/>
      <c r="G39" s="19"/>
      <c r="H39" s="18"/>
      <c r="I39" s="17"/>
    </row>
    <row r="40" spans="1:9" ht="18.75" customHeight="1" x14ac:dyDescent="0.3">
      <c r="A40" s="17"/>
      <c r="B40" s="13"/>
      <c r="C40" s="13"/>
      <c r="D40" s="16"/>
      <c r="E40" s="17"/>
      <c r="F40" s="18"/>
      <c r="G40" s="19"/>
      <c r="H40" s="18"/>
      <c r="I40" s="17"/>
    </row>
    <row r="41" spans="1:9" ht="18.75" customHeight="1" x14ac:dyDescent="0.3">
      <c r="A41" s="17"/>
      <c r="B41" s="13"/>
      <c r="C41" s="13"/>
      <c r="D41" s="16"/>
      <c r="E41" s="17"/>
      <c r="F41" s="18"/>
      <c r="G41" s="19"/>
      <c r="H41" s="18"/>
      <c r="I41" s="17"/>
    </row>
    <row r="42" spans="1:9" ht="18.75" customHeight="1" x14ac:dyDescent="0.3">
      <c r="A42" s="17"/>
      <c r="B42" s="13"/>
      <c r="C42" s="13"/>
      <c r="D42" s="16"/>
      <c r="E42" s="17"/>
      <c r="F42" s="18"/>
      <c r="G42" s="19"/>
      <c r="H42" s="18"/>
      <c r="I42" s="17"/>
    </row>
    <row r="43" spans="1:9" ht="18.75" customHeight="1" x14ac:dyDescent="0.3">
      <c r="A43" s="17"/>
      <c r="B43" s="13"/>
      <c r="C43" s="13"/>
      <c r="D43" s="16"/>
      <c r="E43" s="17"/>
      <c r="F43" s="18"/>
      <c r="G43" s="19"/>
      <c r="H43" s="18"/>
      <c r="I43" s="17"/>
    </row>
    <row r="44" spans="1:9" ht="18.75" customHeight="1" x14ac:dyDescent="0.3">
      <c r="A44" s="22"/>
      <c r="B44" s="14"/>
      <c r="C44" s="14"/>
      <c r="D44" s="21"/>
      <c r="E44" s="22"/>
      <c r="F44" s="18"/>
      <c r="G44" s="19"/>
      <c r="H44" s="18"/>
      <c r="I44" s="22"/>
    </row>
    <row r="45" spans="1:9" ht="18.75" customHeight="1" x14ac:dyDescent="0.3">
      <c r="A45" s="22"/>
      <c r="B45" s="14"/>
      <c r="C45" s="14"/>
      <c r="D45" s="21"/>
      <c r="E45" s="22"/>
      <c r="F45" s="18"/>
      <c r="G45" s="19"/>
      <c r="H45" s="18"/>
      <c r="I45" s="22"/>
    </row>
    <row r="46" spans="1:9" ht="18.75" customHeight="1" x14ac:dyDescent="0.3">
      <c r="A46" s="22"/>
      <c r="B46" s="14"/>
      <c r="C46" s="14"/>
      <c r="D46" s="21"/>
      <c r="E46" s="22"/>
      <c r="F46" s="18"/>
      <c r="G46" s="19"/>
      <c r="H46" s="18"/>
      <c r="I46" s="22"/>
    </row>
    <row r="47" spans="1:9" ht="18.75" customHeight="1" x14ac:dyDescent="0.3">
      <c r="A47" s="22"/>
      <c r="B47" s="14"/>
      <c r="C47" s="14"/>
      <c r="D47" s="21"/>
      <c r="E47" s="22"/>
      <c r="F47" s="18"/>
      <c r="G47" s="19"/>
      <c r="H47" s="18"/>
      <c r="I47" s="22"/>
    </row>
    <row r="48" spans="1:9" ht="18.75" customHeight="1" x14ac:dyDescent="0.3">
      <c r="A48" s="22"/>
      <c r="B48" s="14"/>
      <c r="C48" s="14"/>
      <c r="D48" s="21"/>
      <c r="E48" s="22"/>
      <c r="F48" s="18"/>
      <c r="G48" s="19"/>
      <c r="H48" s="18"/>
      <c r="I48" s="22"/>
    </row>
    <row r="49" spans="1:9" ht="18.75" customHeight="1" x14ac:dyDescent="0.3">
      <c r="A49" s="17"/>
      <c r="B49" s="13"/>
      <c r="C49" s="13"/>
      <c r="D49" s="16"/>
      <c r="E49" s="17"/>
      <c r="F49" s="18"/>
      <c r="G49" s="19"/>
      <c r="H49" s="18"/>
      <c r="I49" s="17"/>
    </row>
    <row r="50" spans="1:9" ht="18.75" customHeight="1" x14ac:dyDescent="0.3">
      <c r="A50" s="17"/>
      <c r="B50" s="13"/>
      <c r="C50" s="13"/>
      <c r="D50" s="16"/>
      <c r="E50" s="17"/>
      <c r="F50" s="18"/>
      <c r="G50" s="19"/>
      <c r="H50" s="18"/>
      <c r="I50" s="17"/>
    </row>
    <row r="51" spans="1:9" ht="18.75" customHeight="1" x14ac:dyDescent="0.3">
      <c r="A51" s="17"/>
      <c r="B51" s="13"/>
      <c r="C51" s="13"/>
      <c r="D51" s="16"/>
      <c r="E51" s="17"/>
      <c r="F51" s="18"/>
      <c r="G51" s="19"/>
      <c r="H51" s="18"/>
      <c r="I51" s="17"/>
    </row>
    <row r="52" spans="1:9" ht="18.75" customHeight="1" x14ac:dyDescent="0.3">
      <c r="A52" s="17"/>
      <c r="B52" s="13"/>
      <c r="C52" s="13"/>
      <c r="D52" s="16"/>
      <c r="E52" s="17"/>
      <c r="F52" s="18"/>
      <c r="G52" s="19"/>
      <c r="H52" s="18"/>
      <c r="I52" s="17"/>
    </row>
    <row r="53" spans="1:9" ht="18.75" customHeight="1" x14ac:dyDescent="0.3">
      <c r="A53" s="17"/>
      <c r="B53" s="13"/>
      <c r="C53" s="13"/>
      <c r="D53" s="16"/>
      <c r="E53" s="17"/>
      <c r="F53" s="18"/>
      <c r="G53" s="19"/>
      <c r="H53" s="18"/>
      <c r="I53" s="17"/>
    </row>
    <row r="54" spans="1:9" ht="18.75" customHeight="1" x14ac:dyDescent="0.3">
      <c r="A54" s="22"/>
      <c r="B54" s="14"/>
      <c r="C54" s="14"/>
      <c r="D54" s="21"/>
      <c r="E54" s="22"/>
      <c r="F54" s="18"/>
      <c r="G54" s="19"/>
      <c r="H54" s="18"/>
      <c r="I54" s="22"/>
    </row>
    <row r="55" spans="1:9" ht="18.75" customHeight="1" x14ac:dyDescent="0.3">
      <c r="A55" s="22"/>
      <c r="B55" s="14"/>
      <c r="C55" s="14"/>
      <c r="D55" s="21"/>
      <c r="E55" s="22"/>
      <c r="F55" s="18"/>
      <c r="G55" s="19"/>
      <c r="H55" s="18"/>
      <c r="I55" s="22"/>
    </row>
    <row r="56" spans="1:9" ht="18.75" customHeight="1" x14ac:dyDescent="0.3">
      <c r="A56" s="22"/>
      <c r="B56" s="14"/>
      <c r="C56" s="14"/>
      <c r="D56" s="21"/>
      <c r="E56" s="22"/>
      <c r="F56" s="18"/>
      <c r="G56" s="19"/>
      <c r="H56" s="18"/>
      <c r="I56" s="22"/>
    </row>
    <row r="57" spans="1:9" ht="18.75" customHeight="1" x14ac:dyDescent="0.3">
      <c r="A57" s="22"/>
      <c r="B57" s="14"/>
      <c r="C57" s="14"/>
      <c r="D57" s="21"/>
      <c r="E57" s="22"/>
      <c r="F57" s="18"/>
      <c r="G57" s="19"/>
      <c r="H57" s="18"/>
      <c r="I57" s="22"/>
    </row>
    <row r="58" spans="1:9" ht="18.75" customHeight="1" x14ac:dyDescent="0.3">
      <c r="A58" s="22"/>
      <c r="B58" s="14"/>
      <c r="C58" s="14"/>
      <c r="D58" s="21"/>
      <c r="E58" s="22"/>
      <c r="F58" s="18"/>
      <c r="G58" s="19"/>
      <c r="H58" s="18"/>
      <c r="I58" s="22"/>
    </row>
  </sheetData>
  <mergeCells count="85">
    <mergeCell ref="A1:I1"/>
    <mergeCell ref="A2:I2"/>
    <mergeCell ref="A4:C4"/>
    <mergeCell ref="E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A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A17:I17"/>
    <mergeCell ref="H19:H23"/>
    <mergeCell ref="I19:I23"/>
    <mergeCell ref="A24:A28"/>
    <mergeCell ref="D24:D28"/>
    <mergeCell ref="E24:E28"/>
    <mergeCell ref="F24:F28"/>
    <mergeCell ref="G24:G28"/>
    <mergeCell ref="H24:H28"/>
    <mergeCell ref="I24:I28"/>
    <mergeCell ref="A19:A23"/>
    <mergeCell ref="D19:D23"/>
    <mergeCell ref="E19:E23"/>
    <mergeCell ref="F19:F23"/>
    <mergeCell ref="G19:G23"/>
    <mergeCell ref="H29:H33"/>
    <mergeCell ref="I29:I33"/>
    <mergeCell ref="A34:A38"/>
    <mergeCell ref="D34:D38"/>
    <mergeCell ref="E34:E38"/>
    <mergeCell ref="F34:F38"/>
    <mergeCell ref="G34:G38"/>
    <mergeCell ref="H34:H38"/>
    <mergeCell ref="I34:I38"/>
    <mergeCell ref="A29:A33"/>
    <mergeCell ref="D29:D33"/>
    <mergeCell ref="E29:E33"/>
    <mergeCell ref="F29:F33"/>
    <mergeCell ref="G29:G33"/>
    <mergeCell ref="H39:H43"/>
    <mergeCell ref="I39:I43"/>
    <mergeCell ref="A44:A48"/>
    <mergeCell ref="D44:D48"/>
    <mergeCell ref="E44:E48"/>
    <mergeCell ref="F44:F48"/>
    <mergeCell ref="G44:G48"/>
    <mergeCell ref="H44:H48"/>
    <mergeCell ref="I44:I48"/>
    <mergeCell ref="A39:A43"/>
    <mergeCell ref="D39:D43"/>
    <mergeCell ref="E39:E43"/>
    <mergeCell ref="F39:F43"/>
    <mergeCell ref="G39:G43"/>
    <mergeCell ref="H49:H53"/>
    <mergeCell ref="I49:I53"/>
    <mergeCell ref="A54:A58"/>
    <mergeCell ref="D54:D58"/>
    <mergeCell ref="E54:E58"/>
    <mergeCell ref="F54:F58"/>
    <mergeCell ref="G54:G58"/>
    <mergeCell ref="H54:H58"/>
    <mergeCell ref="I54:I58"/>
    <mergeCell ref="A49:A53"/>
    <mergeCell ref="D49:D53"/>
    <mergeCell ref="E49:E53"/>
    <mergeCell ref="F49:F53"/>
    <mergeCell ref="G49:G53"/>
  </mergeCells>
  <conditionalFormatting sqref="F19:F58">
    <cfRule type="cellIs" dxfId="1" priority="2" operator="equal">
      <formula>"OK"</formula>
    </cfRule>
    <cfRule type="cellIs" dxfId="0" priority="3" operator="equal">
      <formula>"NOK"</formula>
    </cfRule>
  </conditionalFormatting>
  <dataValidations count="4">
    <dataValidation type="list" allowBlank="1" sqref="B10" xr:uid="{00000000-0002-0000-0A00-000000000000}">
      <formula1>"Unitaria,Integración,Funcional,Aceptación,Regresión,No funcional"</formula1>
      <formula2>0</formula2>
    </dataValidation>
    <dataValidation type="list" allowBlank="1" sqref="D19:D58" xr:uid="{00000000-0002-0000-0A00-000001000000}">
      <formula1>"Positivo (+),Negativo (-)"</formula1>
      <formula2>0</formula2>
    </dataValidation>
    <dataValidation type="list" allowBlank="1" sqref="F19:F58" xr:uid="{00000000-0002-0000-0A00-000002000000}">
      <formula1>"OK,NOK"</formula1>
      <formula2>0</formula2>
    </dataValidation>
    <dataValidation type="list" allowBlank="1" sqref="H19:H58" xr:uid="{00000000-0002-0000-0A00-000003000000}">
      <formula1>"Baja,Media,Alta"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9</vt:i4>
      </vt:variant>
    </vt:vector>
  </HeadingPairs>
  <TitlesOfParts>
    <vt:vector size="20" baseType="lpstr">
      <vt:lpstr>Guía</vt:lpstr>
      <vt:lpstr>Resumen</vt:lpstr>
      <vt:lpstr>E1-HU1</vt:lpstr>
      <vt:lpstr>E1-HU2</vt:lpstr>
      <vt:lpstr>E1-HU3</vt:lpstr>
      <vt:lpstr>E1-HU4</vt:lpstr>
      <vt:lpstr>E2-HU1</vt:lpstr>
      <vt:lpstr>E2-HU2</vt:lpstr>
      <vt:lpstr>E2-HU3</vt:lpstr>
      <vt:lpstr>E2-HU4</vt:lpstr>
      <vt:lpstr>Formato en blanco</vt:lpstr>
      <vt:lpstr>'E1-HU1'!Títulos_a_imprimir</vt:lpstr>
      <vt:lpstr>'E1-HU2'!Títulos_a_imprimir</vt:lpstr>
      <vt:lpstr>'E1-HU3'!Títulos_a_imprimir</vt:lpstr>
      <vt:lpstr>'E1-HU4'!Títulos_a_imprimir</vt:lpstr>
      <vt:lpstr>'E2-HU1'!Títulos_a_imprimir</vt:lpstr>
      <vt:lpstr>'E2-HU2'!Títulos_a_imprimir</vt:lpstr>
      <vt:lpstr>'E2-HU3'!Títulos_a_imprimir</vt:lpstr>
      <vt:lpstr>'E2-HU4'!Títulos_a_imprimir</vt:lpstr>
      <vt:lpstr>'Formato en blanco'!Títulos_a_imprimir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Sebastián meneses Hernández</cp:lastModifiedBy>
  <cp:revision>3</cp:revision>
  <dcterms:created xsi:type="dcterms:W3CDTF">2026-10-20T23:37:22Z</dcterms:created>
  <dcterms:modified xsi:type="dcterms:W3CDTF">2026-10-21T00:23:22Z</dcterms:modified>
  <dc:language>en-US</dc:language>
</cp:coreProperties>
</file>