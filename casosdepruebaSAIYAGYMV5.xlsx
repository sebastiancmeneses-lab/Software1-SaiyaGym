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4c4d1bd57d4a7dc6/Desktop/POYECTOSOFTWARE/Evidencias_adicionales_S1_S2/"/>
    </mc:Choice>
  </mc:AlternateContent>
  <xr:revisionPtr revIDLastSave="3" documentId="8_{61B27EA0-431D-466F-8907-64F6C76898C7}" xr6:coauthVersionLast="47" xr6:coauthVersionMax="47" xr10:uidLastSave="{2A821A88-9983-484E-A9D5-429C012601BE}"/>
  <bookViews>
    <workbookView xWindow="-108" yWindow="-108" windowWidth="23256" windowHeight="12456" tabRatio="500" activeTab="1" xr2:uid="{00000000-000D-0000-FFFF-FFFF00000000}"/>
  </bookViews>
  <sheets>
    <sheet name="Guía" sheetId="1" r:id="rId1"/>
    <sheet name="Resumen" sheetId="2" r:id="rId2"/>
    <sheet name="E1-HU1" sheetId="4" r:id="rId3"/>
    <sheet name="E1-HU2" sheetId="5" r:id="rId4"/>
    <sheet name="E1-HU3" sheetId="6" r:id="rId5"/>
    <sheet name="E1-HU4" sheetId="7" r:id="rId6"/>
    <sheet name="E2-HU1" sheetId="8" r:id="rId7"/>
    <sheet name="E2-HU2" sheetId="9" r:id="rId8"/>
    <sheet name="E2-HU3" sheetId="10" r:id="rId9"/>
    <sheet name="E2-HU4" sheetId="11" r:id="rId10"/>
    <sheet name="Formato en blanco" sheetId="12" r:id="rId11"/>
    <sheet name="Revisión QA" sheetId="13" r:id="rId12"/>
  </sheets>
  <definedNames>
    <definedName name="_xlnm.Print_Titles" localSheetId="2">'E1-HU1'!$18:$18</definedName>
    <definedName name="_xlnm.Print_Titles" localSheetId="3">'E1-HU2'!$18:$18</definedName>
    <definedName name="_xlnm.Print_Titles" localSheetId="4">'E1-HU3'!$18:$18</definedName>
    <definedName name="_xlnm.Print_Titles" localSheetId="5">'E1-HU4'!$18:$18</definedName>
    <definedName name="_xlnm.Print_Titles" localSheetId="6">'E2-HU1'!$18:$18</definedName>
    <definedName name="_xlnm.Print_Titles" localSheetId="7">'E2-HU2'!$18:$18</definedName>
    <definedName name="_xlnm.Print_Titles" localSheetId="8">'E2-HU3'!$18:$18</definedName>
    <definedName name="_xlnm.Print_Titles" localSheetId="9">'E2-HU4'!$18:$18</definedName>
    <definedName name="_xlnm.Print_Titles" localSheetId="10">'Formato en blanco'!$18:$18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6" i="12" l="1"/>
  <c r="B16" i="12"/>
  <c r="F15" i="12"/>
  <c r="B15" i="12"/>
  <c r="F14" i="12"/>
  <c r="B14" i="12"/>
  <c r="F13" i="12"/>
  <c r="B13" i="12"/>
  <c r="F12" i="12"/>
  <c r="B12" i="12"/>
  <c r="F8" i="12"/>
  <c r="F7" i="12"/>
  <c r="F6" i="12"/>
  <c r="F5" i="12"/>
  <c r="F11" i="12" s="1"/>
  <c r="F16" i="11"/>
  <c r="B16" i="11"/>
  <c r="F15" i="11"/>
  <c r="B15" i="11"/>
  <c r="F14" i="11"/>
  <c r="B14" i="11"/>
  <c r="F13" i="11"/>
  <c r="B13" i="11"/>
  <c r="F12" i="11"/>
  <c r="B12" i="11"/>
  <c r="F8" i="11"/>
  <c r="F7" i="11"/>
  <c r="F6" i="11"/>
  <c r="F5" i="11"/>
  <c r="F11" i="11" s="1"/>
  <c r="J12" i="2" s="1"/>
  <c r="F16" i="10"/>
  <c r="B16" i="10"/>
  <c r="F15" i="10"/>
  <c r="B15" i="10"/>
  <c r="F14" i="10"/>
  <c r="B14" i="10"/>
  <c r="F13" i="10"/>
  <c r="F11" i="2" s="1"/>
  <c r="B13" i="10"/>
  <c r="F12" i="10"/>
  <c r="E11" i="2" s="1"/>
  <c r="B12" i="10"/>
  <c r="F8" i="10"/>
  <c r="F7" i="10"/>
  <c r="F6" i="10"/>
  <c r="F5" i="10"/>
  <c r="F16" i="9"/>
  <c r="F15" i="9"/>
  <c r="B15" i="9"/>
  <c r="B16" i="9" s="1"/>
  <c r="F14" i="9"/>
  <c r="B14" i="9"/>
  <c r="F13" i="9"/>
  <c r="F10" i="2" s="1"/>
  <c r="B13" i="9"/>
  <c r="F12" i="9"/>
  <c r="E10" i="2" s="1"/>
  <c r="B12" i="9"/>
  <c r="F8" i="9"/>
  <c r="I10" i="2" s="1"/>
  <c r="I24" i="2" s="1"/>
  <c r="F7" i="9"/>
  <c r="H10" i="2" s="1"/>
  <c r="F6" i="9"/>
  <c r="F5" i="9"/>
  <c r="F16" i="8"/>
  <c r="F15" i="8"/>
  <c r="B15" i="8"/>
  <c r="F14" i="8"/>
  <c r="B14" i="8"/>
  <c r="F13" i="8"/>
  <c r="F9" i="2" s="1"/>
  <c r="B13" i="8"/>
  <c r="F12" i="8"/>
  <c r="E9" i="2" s="1"/>
  <c r="B12" i="8"/>
  <c r="B16" i="8" s="1"/>
  <c r="F8" i="8"/>
  <c r="I9" i="2" s="1"/>
  <c r="I23" i="2" s="1"/>
  <c r="F7" i="8"/>
  <c r="H9" i="2" s="1"/>
  <c r="F6" i="8"/>
  <c r="F5" i="8"/>
  <c r="F16" i="7"/>
  <c r="F15" i="7"/>
  <c r="B15" i="7"/>
  <c r="F14" i="7"/>
  <c r="B14" i="7"/>
  <c r="F13" i="7"/>
  <c r="F8" i="2" s="1"/>
  <c r="B13" i="7"/>
  <c r="F12" i="7"/>
  <c r="E8" i="2" s="1"/>
  <c r="B12" i="7"/>
  <c r="B16" i="7" s="1"/>
  <c r="F8" i="7"/>
  <c r="I8" i="2" s="1"/>
  <c r="I22" i="2" s="1"/>
  <c r="F7" i="7"/>
  <c r="H8" i="2" s="1"/>
  <c r="F6" i="7"/>
  <c r="F5" i="7"/>
  <c r="F16" i="6"/>
  <c r="F15" i="6"/>
  <c r="B15" i="6"/>
  <c r="F14" i="6"/>
  <c r="B14" i="6"/>
  <c r="B16" i="6" s="1"/>
  <c r="F13" i="6"/>
  <c r="F7" i="2" s="1"/>
  <c r="B13" i="6"/>
  <c r="F12" i="6"/>
  <c r="E7" i="2" s="1"/>
  <c r="B12" i="6"/>
  <c r="F8" i="6"/>
  <c r="I7" i="2" s="1"/>
  <c r="I21" i="2" s="1"/>
  <c r="F7" i="6"/>
  <c r="H7" i="2" s="1"/>
  <c r="F6" i="6"/>
  <c r="F5" i="6"/>
  <c r="F16" i="5"/>
  <c r="B16" i="5"/>
  <c r="F15" i="5"/>
  <c r="B15" i="5"/>
  <c r="F14" i="5"/>
  <c r="B14" i="5"/>
  <c r="F13" i="5"/>
  <c r="F6" i="2" s="1"/>
  <c r="B13" i="5"/>
  <c r="F12" i="5"/>
  <c r="E6" i="2" s="1"/>
  <c r="B12" i="5"/>
  <c r="F8" i="5"/>
  <c r="I6" i="2" s="1"/>
  <c r="I20" i="2" s="1"/>
  <c r="F7" i="5"/>
  <c r="H6" i="2" s="1"/>
  <c r="F6" i="5"/>
  <c r="F5" i="5"/>
  <c r="F16" i="4"/>
  <c r="F15" i="4"/>
  <c r="B15" i="4"/>
  <c r="F14" i="4"/>
  <c r="B14" i="4"/>
  <c r="F13" i="4"/>
  <c r="F5" i="2" s="1"/>
  <c r="B13" i="4"/>
  <c r="F12" i="4"/>
  <c r="E5" i="2" s="1"/>
  <c r="B12" i="4"/>
  <c r="B16" i="4" s="1"/>
  <c r="F8" i="4"/>
  <c r="I5" i="2" s="1"/>
  <c r="F7" i="4"/>
  <c r="H5" i="2" s="1"/>
  <c r="F6" i="4"/>
  <c r="F5" i="4"/>
  <c r="K26" i="2"/>
  <c r="J26" i="2"/>
  <c r="H26" i="2"/>
  <c r="G26" i="2"/>
  <c r="F26" i="2"/>
  <c r="B26" i="2"/>
  <c r="A26" i="2"/>
  <c r="K25" i="2"/>
  <c r="J25" i="2"/>
  <c r="H25" i="2"/>
  <c r="G25" i="2"/>
  <c r="F25" i="2"/>
  <c r="B25" i="2"/>
  <c r="A25" i="2"/>
  <c r="K24" i="2"/>
  <c r="J24" i="2"/>
  <c r="H24" i="2"/>
  <c r="G24" i="2"/>
  <c r="F24" i="2"/>
  <c r="B24" i="2"/>
  <c r="A24" i="2"/>
  <c r="K23" i="2"/>
  <c r="J23" i="2"/>
  <c r="H23" i="2"/>
  <c r="G23" i="2"/>
  <c r="F23" i="2"/>
  <c r="B23" i="2"/>
  <c r="A23" i="2"/>
  <c r="K22" i="2"/>
  <c r="J22" i="2"/>
  <c r="H22" i="2"/>
  <c r="G22" i="2"/>
  <c r="F22" i="2"/>
  <c r="B22" i="2"/>
  <c r="A22" i="2"/>
  <c r="K21" i="2"/>
  <c r="J21" i="2"/>
  <c r="H21" i="2"/>
  <c r="G21" i="2"/>
  <c r="F21" i="2"/>
  <c r="B21" i="2"/>
  <c r="A21" i="2"/>
  <c r="K20" i="2"/>
  <c r="J20" i="2"/>
  <c r="H20" i="2"/>
  <c r="G20" i="2"/>
  <c r="F20" i="2"/>
  <c r="B20" i="2"/>
  <c r="A20" i="2"/>
  <c r="K19" i="2"/>
  <c r="K27" i="2" s="1"/>
  <c r="C41" i="2" s="1"/>
  <c r="J19" i="2"/>
  <c r="J27" i="2" s="1"/>
  <c r="C32" i="2" s="1"/>
  <c r="H19" i="2"/>
  <c r="H27" i="2" s="1"/>
  <c r="G19" i="2"/>
  <c r="G27" i="2" s="1"/>
  <c r="F19" i="2"/>
  <c r="F27" i="2" s="1"/>
  <c r="B19" i="2"/>
  <c r="A19" i="2"/>
  <c r="I12" i="2"/>
  <c r="I26" i="2" s="1"/>
  <c r="H12" i="2"/>
  <c r="G12" i="2"/>
  <c r="F12" i="2"/>
  <c r="E12" i="2"/>
  <c r="D12" i="2"/>
  <c r="C26" i="2" s="1"/>
  <c r="I11" i="2"/>
  <c r="I25" i="2" s="1"/>
  <c r="H11" i="2"/>
  <c r="G11" i="2"/>
  <c r="F10" i="12" l="1"/>
  <c r="F9" i="12"/>
  <c r="F10" i="11"/>
  <c r="F9" i="11"/>
  <c r="K11" i="2"/>
  <c r="F9" i="10"/>
  <c r="F10" i="10"/>
  <c r="D11" i="2"/>
  <c r="F11" i="10"/>
  <c r="J11" i="2" s="1"/>
  <c r="K10" i="2"/>
  <c r="F9" i="9"/>
  <c r="F10" i="9"/>
  <c r="G10" i="2"/>
  <c r="F11" i="9"/>
  <c r="J10" i="2" s="1"/>
  <c r="D10" i="2"/>
  <c r="K9" i="2"/>
  <c r="F9" i="8"/>
  <c r="G9" i="2"/>
  <c r="F10" i="8"/>
  <c r="F11" i="8"/>
  <c r="J9" i="2" s="1"/>
  <c r="D9" i="2"/>
  <c r="K8" i="2"/>
  <c r="F10" i="7"/>
  <c r="G8" i="2"/>
  <c r="F9" i="7"/>
  <c r="F11" i="7"/>
  <c r="J8" i="2" s="1"/>
  <c r="D8" i="2"/>
  <c r="K7" i="2"/>
  <c r="F10" i="6"/>
  <c r="F9" i="6"/>
  <c r="G7" i="2"/>
  <c r="F11" i="6"/>
  <c r="J7" i="2" s="1"/>
  <c r="D7" i="2"/>
  <c r="K6" i="2"/>
  <c r="L20" i="2"/>
  <c r="F10" i="5"/>
  <c r="G6" i="2"/>
  <c r="F9" i="5"/>
  <c r="D6" i="2"/>
  <c r="F11" i="5"/>
  <c r="J6" i="2" s="1"/>
  <c r="K5" i="2"/>
  <c r="K13" i="2" s="1"/>
  <c r="C42" i="2" s="1"/>
  <c r="E13" i="2"/>
  <c r="L19" i="2"/>
  <c r="I13" i="2"/>
  <c r="C38" i="2" s="1"/>
  <c r="I19" i="2"/>
  <c r="I27" i="2" s="1"/>
  <c r="C40" i="2" s="1"/>
  <c r="F9" i="4"/>
  <c r="F10" i="4"/>
  <c r="G5" i="2"/>
  <c r="D5" i="2"/>
  <c r="F11" i="4"/>
  <c r="J5" i="2" s="1"/>
  <c r="D26" i="2"/>
  <c r="E26" i="2"/>
  <c r="L26" i="2"/>
  <c r="K12" i="2"/>
  <c r="E25" i="2"/>
  <c r="D25" i="2"/>
  <c r="F13" i="2"/>
  <c r="H13" i="2"/>
  <c r="C39" i="2"/>
  <c r="D24" i="2" l="1"/>
  <c r="E24" i="2"/>
  <c r="D23" i="2"/>
  <c r="E23" i="2"/>
  <c r="D22" i="2"/>
  <c r="E22" i="2"/>
  <c r="D21" i="2"/>
  <c r="E21" i="2"/>
  <c r="D20" i="2"/>
  <c r="E20" i="2"/>
  <c r="D19" i="2"/>
  <c r="G13" i="2"/>
  <c r="E19" i="2"/>
  <c r="D13" i="2"/>
  <c r="C19" i="2"/>
  <c r="C20" i="2"/>
  <c r="J13" i="2"/>
  <c r="C34" i="2" s="1"/>
  <c r="L27" i="2"/>
  <c r="C25" i="2"/>
  <c r="L25" i="2"/>
  <c r="C24" i="2"/>
  <c r="L24" i="2"/>
  <c r="C23" i="2"/>
  <c r="L23" i="2"/>
  <c r="C22" i="2"/>
  <c r="L22" i="2"/>
  <c r="C21" i="2"/>
  <c r="L21" i="2"/>
  <c r="D27" i="2" l="1"/>
  <c r="C36" i="2" s="1"/>
  <c r="E27" i="2"/>
  <c r="C37" i="2" s="1"/>
  <c r="C33" i="2"/>
  <c r="C27" i="2"/>
  <c r="C35" i="2" s="1"/>
  <c r="C31" i="2"/>
</calcChain>
</file>

<file path=xl/sharedStrings.xml><?xml version="1.0" encoding="utf-8"?>
<sst xmlns="http://schemas.openxmlformats.org/spreadsheetml/2006/main" count="2494" uniqueCount="1085">
  <si>
    <t>Casos de prueba (CP) — Guía del formato</t>
  </si>
  <si>
    <t>HOJAS</t>
  </si>
  <si>
    <t>Resumen</t>
  </si>
  <si>
    <t>Una fila por historia: CP diseñados, positivos, negativos, ejecutados, OK/NOK y si cumple el mínimo de la profe.</t>
  </si>
  <si>
    <t>E1-HU1 … E2-HU4</t>
  </si>
  <si>
    <t>Una hoja por historia de usuario de los Sprints 1 y 2, con los casos escritos con datos reales de SAIYAGYM y los mensajes exactos que muestra el sistema.</t>
  </si>
  <si>
    <t>Formato en blanco</t>
  </si>
  <si>
    <t>Plantilla vacía para las historias de los siguientes sprints.</t>
  </si>
  <si>
    <t>TIPO DE PRUEBA</t>
  </si>
  <si>
    <t>Funcionales</t>
  </si>
  <si>
    <t>Prueban lo que el sistema debe hacer según cada historia y sus criterios de aceptación, sin mirar el código. Este formato es de ese tipo. Las pruebas unitarias las hace el desarrollador en el código, y las de aceptación las valida el cliente.</t>
  </si>
  <si>
    <t>CÓMO LEER UNA HOJA</t>
  </si>
  <si>
    <t>Generalidades</t>
  </si>
  <si>
    <t>Fecha, historia (HU), módulo, No. SP, iteración y tipo de prueba. Amarillo = para completar.</t>
  </si>
  <si>
    <t>Alcance</t>
  </si>
  <si>
    <t>Cuántos CP tiene cada criterio de aceptación (CA). Se cuenta solo, leyendo el ID_CP.</t>
  </si>
  <si>
    <t>ID_CP</t>
  </si>
  <si>
    <t>HE1_HU1_CA1_CP001 = Épica 1, historia 1, criterio de aceptación 1, caso 001.</t>
  </si>
  <si>
    <t>Campos / Valores</t>
  </si>
  <si>
    <t>Cada dato que se ingresa (o se hace) y el valor exacto que se usa. Los renglones del mismo CP están agrupados.</t>
  </si>
  <si>
    <t>Sentido (+/-)</t>
  </si>
  <si>
    <t>Positivo (+): el dato es válido y debe salir bien. Negativo (-): el dato es inválido o la situación no permite la acción y el sistema debe rechazarla.</t>
  </si>
  <si>
    <t>Resultado esperado</t>
  </si>
  <si>
    <t>«Entonces CAn» + lo que dice el criterio + el mensaje exacto de la pantalla.</t>
  </si>
  <si>
    <t>Observación</t>
  </si>
  <si>
    <t>Precondición (qué debe existir antes), cómo probarlo (pantalla, API o base de datos) y si el CP es adicional al criterio.</t>
  </si>
  <si>
    <t>Al ejecutar</t>
  </si>
  <si>
    <t>Pasos</t>
  </si>
  <si>
    <t>Elige OK o NOK en «Resultado real». Pon el enlace de la evidencia (captura o video) o describe el fallo. Si es NOK, elige el nivel del error (Baja, Media, Alta). Las estadísticas se actualizan solas.</t>
  </si>
  <si>
    <t>Orden de ejecución</t>
  </si>
  <si>
    <t>Algunos CP dependen de otros (ej. E2-HU2 usa las rutinas de E2-HU1). Se ejecutan en el orden E1-HU1 → E2-HU4; la columna Observación lo indica.</t>
  </si>
  <si>
    <t>Casos con preparación en la base de datos</t>
  </si>
  <si>
    <t>«Usuario no encontrado» (E1-HU2 y E1-HU4) y «Rutina no encontrada» (E2-HU3): se deja el registro abierto en pantalla, se borra de la base de datos con SQL y luego se pulsa Guardar o Inactivar. «Rutina no disponible» (E2-HU4) se prepara con un UPDATE. Los pasos están en los documentos Pasos_.</t>
  </si>
  <si>
    <t>PARA CONFIRMAR CON LA PROFESORA</t>
  </si>
  <si>
    <t>1</t>
  </si>
  <si>
    <t>¿«No. SP» es número de sprint o puntos de la historia? Lo dejé libre.</t>
  </si>
  <si>
    <t>2</t>
  </si>
  <si>
    <t>El «=PU» junto al ID y el esquema de la derecha de la pizarra («X3CP», «Ex», «Rg») no se leían con certeza; no los apliqué.</t>
  </si>
  <si>
    <t>3</t>
  </si>
  <si>
    <t>La regla «mínimo 2 positivos y 1 negativo» la apliqué por historia (el Resumen la verifica). Si es por criterio de aceptación, hay que agregar CP en los criterios que son solo negativos (ej. «Usuario duplicado»).</t>
  </si>
  <si>
    <t>4</t>
  </si>
  <si>
    <t>Los CP con la etiqueta [CP adicional] en Observación van más allá del criterio (formato de correo, contraseña, límites, permisos, concurrencia, integridad). Los que dicen «regla pendiente» proponen un resultado esperado que debe confirmarse; no son requisitos oficiales.</t>
  </si>
  <si>
    <t>5</t>
  </si>
  <si>
    <t>Nivel del error: Baja / Media / Alta (en la pizarra se ve «Baja»). Si usan otra escala, se cambia en la lista de la columna.</t>
  </si>
  <si>
    <t>6</t>
  </si>
  <si>
    <t>Los 68 CP originales tienen resultado OK y evidencia en Google Docs (revisada el 27/10/2026; detalle en la hoja «Revisión QA»). Los 43 CP adicionales se ejecutaron el 27/10/2026 en una copia de pruebas del código del proyecto: 32 OK, 10 NOK y 1 PENDIENTE (HE2_HU4_CA1_CP004, solo se reproduce entre 19:00 y 23:59 hora de Colombia). En la columna Evidencia, cada CP adicional es un enlace al Word «Evidencias_&lt;HU&gt;_adicionales.docx» y nombra la sección del CP. Los 8 enlaces de Google Drive están listados en la hoja «Evidencias».</t>
  </si>
  <si>
    <t>7</t>
  </si>
  <si>
    <t>En el sistema, las historias E1-HU2 y E1-HU3 están numeradas al revés que en el documento de HU (en código: HU2 = consultar, HU3 = actualizar). Aquí se usó la numeración del documento de HU.</t>
  </si>
  <si>
    <t>ETIQUETAS EN «OBSERVACIÓN» (agregadas en la revisión del 27/10/2026)</t>
  </si>
  <si>
    <t>[Verifica CAn]</t>
  </si>
  <si>
    <t>El CP comprueba directamente lo que dice el criterio de aceptación n.</t>
  </si>
  <si>
    <t>[CP adicional]</t>
  </si>
  <si>
    <t>El CP nace del análisis de riesgos: límites, formatos, permisos, concurrencia, relaciones entre módulos. La observación explica qué riesgo previene.</t>
  </si>
  <si>
    <t>[CP adicional – regla pendiente]</t>
  </si>
  <si>
    <t>La regla de negocio no está definida en la HU. El resultado esperado es una propuesta razonable que debe confirmarse con la profesora o el cliente.</t>
  </si>
  <si>
    <t>Prioridad de riesgo propuesta</t>
  </si>
  <si>
    <t>Alta / Media / Baja según el daño que causaría el defecto si existiera. NO es el nivel del error: el nivel solo se asigna cuando el CP se ejecuta y da NOK.</t>
  </si>
  <si>
    <t>Nota de análisis</t>
  </si>
  <si>
    <t>Lo que sugiere la lectura del código fuente sobre el comportamiento probable. No es un resultado: el resultado real solo se registra al ejecutar con evidencia.</t>
  </si>
  <si>
    <t>NIVEL DEL ERROR (columna «Tipo / Nivel del error»; solo para CP con resultado NOK)</t>
  </si>
  <si>
    <t>Baja</t>
  </si>
  <si>
    <t>Defecto menor, impacto limitado y con alternativa sencilla. Ej.: texto de un mensaje con errores; información confusa que se corrige con «Limpiar».</t>
  </si>
  <si>
    <t>Media</t>
  </si>
  <si>
    <t>Afecta una funcionalidad importante, pero hay alternativa o el impacto está acotado. Ej.: se acepta un dato con formato inválido; error genérico en una operación que no corrompe datos.</t>
  </si>
  <si>
    <t>Alta</t>
  </si>
  <si>
    <t>Compromete una función crítica, la integridad de los datos, los permisos o la privacidad. Ej.: un rol sin permiso modifica datos; se crea un usuario duplicado; se ve la rutina de otra persona.</t>
  </si>
  <si>
    <t>Regla</t>
  </si>
  <si>
    <t>Un CP negativo con resultado OK NO es un defecto: el sistema rechazó bien la entrada inválida. Las estadísticas de errores cuentan solo CP NOK con nivel asignado.</t>
  </si>
  <si>
    <t>ESTADÍSTICAS</t>
  </si>
  <si>
    <t>Total CP diseñados</t>
  </si>
  <si>
    <t>Cuenta solo las celdas de ID_CP con el formato HEx_HUx_CAx_CPxxx (no cuenta títulos ni la fila separadora).</t>
  </si>
  <si>
    <t>% OK / % NOK</t>
  </si>
  <si>
    <t>Se calculan sobre los CP ejecutados (OK + NOK). Si no hay ejecutados muestran «Sin ejecutados» en lugar de 0 %.</t>
  </si>
  <si>
    <t>Errores por nivel</t>
  </si>
  <si>
    <t>Cuentan los CP con resultado NOK y ese nivel. Un nivel escrito en un CP OK o sin ejecutar no se cuenta.</t>
  </si>
  <si>
    <t>Al agregar CP</t>
  </si>
  <si>
    <t>Escríbelos dentro del rango de la hoja o amplía los rangos de las fórmulas (B12:B15 y F5:F16), de las listas desplegables y del formato condicional.</t>
  </si>
  <si>
    <t>RESUMEN DE CASOS DE PRUEBA — SAIYAGYM · Sprint 1 y Sprint 2</t>
  </si>
  <si>
    <t>Historia</t>
  </si>
  <si>
    <t>Nombre</t>
  </si>
  <si>
    <t>Sprint</t>
  </si>
  <si>
    <t>CP diseñados</t>
  </si>
  <si>
    <t>Positivos (+)</t>
  </si>
  <si>
    <t>Negativos (-)</t>
  </si>
  <si>
    <t>Ejecutados</t>
  </si>
  <si>
    <t>OK</t>
  </si>
  <si>
    <t>NOK</t>
  </si>
  <si>
    <t>Pendientes</t>
  </si>
  <si>
    <t>¿Cumple mínimo 2(+) y 1(-)?</t>
  </si>
  <si>
    <t>E1-HU1</t>
  </si>
  <si>
    <t>Registrar usuarios</t>
  </si>
  <si>
    <t>Sprint 1</t>
  </si>
  <si>
    <t>E1-HU2</t>
  </si>
  <si>
    <t>Actualizar información de usuarios</t>
  </si>
  <si>
    <t>E1-HU3</t>
  </si>
  <si>
    <t>Consultar información de usuarios</t>
  </si>
  <si>
    <t>E1-HU4</t>
  </si>
  <si>
    <t>Gestionar estado de usuarios</t>
  </si>
  <si>
    <t>E2-HU1</t>
  </si>
  <si>
    <t>Crear rutina de entrenamiento</t>
  </si>
  <si>
    <t>Sprint 2</t>
  </si>
  <si>
    <t>E2-HU2</t>
  </si>
  <si>
    <t>Asignar rutina a usuario</t>
  </si>
  <si>
    <t>E2-HU3</t>
  </si>
  <si>
    <t>Modificar rutina de entrenamiento</t>
  </si>
  <si>
    <t>E2-HU4</t>
  </si>
  <si>
    <t>Consultar rutina asignada</t>
  </si>
  <si>
    <t>TOTAL</t>
  </si>
  <si>
    <t>EJECUCIÓN, DEFECTOS Y CONTROL DE EVIDENCIAS POR HISTORIA</t>
  </si>
  <si>
    <t>% de ejecución
(ejecutados / diseñados)</t>
  </si>
  <si>
    <t>% OK
(sobre ejecutados)</t>
  </si>
  <si>
    <t>% NOK
(sobre ejecutados)</t>
  </si>
  <si>
    <t>Defectos Baja</t>
  </si>
  <si>
    <t>Defectos Media</t>
  </si>
  <si>
    <t>Defectos Alta</t>
  </si>
  <si>
    <t>NOK sin nivel asignado</t>
  </si>
  <si>
    <t>CP adicionales (riesgo)</t>
  </si>
  <si>
    <t>Ejecutados sin evidencia</t>
  </si>
  <si>
    <t>Control: (+) + (−) = diseñados</t>
  </si>
  <si>
    <t>INDICADORES GLOBALES (qué mide cada uno y cuál es su denominador)</t>
  </si>
  <si>
    <t>Indicador</t>
  </si>
  <si>
    <t>Valor</t>
  </si>
  <si>
    <t>Qué mide · denominador · cálculo</t>
  </si>
  <si>
    <t>Casos escritos en las 8 hojas (originales + adicionales). Suma de «Total CP diseñados» de cada hoja, que cuenta solo IDs con formato HEx_HUx_CAx_CPxxx.</t>
  </si>
  <si>
    <t>CP adicionales por análisis de riesgos</t>
  </si>
  <si>
    <t>CP cuya observación empieza con [CP adicional]: van más allá del criterio de aceptación. Los originales que ya eran adicionales también se cuentan.</t>
  </si>
  <si>
    <t>CP ejecutados</t>
  </si>
  <si>
    <t>CP con resultado real OK o NOK.</t>
  </si>
  <si>
    <t>CP pendientes de ejecución</t>
  </si>
  <si>
    <t>Diseñados − ejecutados. Un CP pendiente no tiene resultado real ni nivel de error.</t>
  </si>
  <si>
    <t>% de ejecución</t>
  </si>
  <si>
    <t>Ejecutados / diseñados. Mide avance de la ejecución, no calidad del software.</t>
  </si>
  <si>
    <t>% OK sobre ejecutados</t>
  </si>
  <si>
    <t>OK / ejecutados. Proporción de CP ejecutados cuyo resultado real coincidió con el esperado. NO es el % de requisitos cumplidos ni la tasa de defectos: un CP negativo con OK significa que el sistema rechazó bien un dato inválido.</t>
  </si>
  <si>
    <t>% NOK sobre ejecutados</t>
  </si>
  <si>
    <t>NOK / ejecutados. Proporción de CP ejecutados que encontraron un comportamiento distinto al esperado.</t>
  </si>
  <si>
    <t>Defectos confirmados (CP NOK)</t>
  </si>
  <si>
    <t>Cantidad de CP con resultado NOK. Cada NOK debe tener descripción del fallo, evidencia y nivel.</t>
  </si>
  <si>
    <t>Defectos de nivel Alta / Media / Baja</t>
  </si>
  <si>
    <t>CP NOK clasificados por severidad (columna «Tipo / Nivel del error»). La severidad depende del impacto del defecto observado, no de que el CP sea negativo.</t>
  </si>
  <si>
    <t>CP NOK sin nivel asignado</t>
  </si>
  <si>
    <t>Control de calidad del registro: debe ser 0.</t>
  </si>
  <si>
    <t>CP ejecutados sin evidencia</t>
  </si>
  <si>
    <t>Control: CP con OK o NOK cuya celda de evidencia está vacía. Debe ser 0.</t>
  </si>
  <si>
    <t>Historias que cumplen el mínimo</t>
  </si>
  <si>
    <t>Historias con al menos 2 CP positivos y 1 negativo (regla de la profesora, aplicada por historia).</t>
  </si>
  <si>
    <t>Sin CP ejecutados, los porcentajes muestran «Sin ejecutados» en lugar de 0 % para no inducir a error. Si el libro se abre en Excel y algún valor no se actualiza, presionar Ctrl+Alt+F9 (recalcular todo).</t>
  </si>
  <si>
    <t>DISEÑO DE CASOS DE PRUEBA (CP) — SAIYAGYM · E1-HU1 Registrar usuarios</t>
  </si>
  <si>
    <t>Rol que ejecuta: Administrador. Celdas amarillas = para completar al ejecutar. Alcance y estadísticas se calculan solos.</t>
  </si>
  <si>
    <t>GENERALIDADES DE LA PRUEBA</t>
  </si>
  <si>
    <t>Fecha</t>
  </si>
  <si>
    <t>2026-10-20</t>
  </si>
  <si>
    <t>HU</t>
  </si>
  <si>
    <t>E1-HU1 — Registrar usuarios</t>
  </si>
  <si>
    <t>Total CP ejecutados (OK + NOK)</t>
  </si>
  <si>
    <t>Módulo</t>
  </si>
  <si>
    <t>Gestión de usuarios (Sprint 1)</t>
  </si>
  <si>
    <t>CP con resultado OK</t>
  </si>
  <si>
    <t>No. SP</t>
  </si>
  <si>
    <t>CP con resultado NOK</t>
  </si>
  <si>
    <t>Iteración</t>
  </si>
  <si>
    <t>Tipo de prueba</t>
  </si>
  <si>
    <t>Funcional</t>
  </si>
  <si>
    <t>Alcance (CP por criterio de aceptación)</t>
  </si>
  <si>
    <t>CP pendientes de ejecutar</t>
  </si>
  <si>
    <t>CA1 · Registro exitoso</t>
  </si>
  <si>
    <t>CP positivos (+)</t>
  </si>
  <si>
    <t>CA2 · Campos obligatorios incompletos</t>
  </si>
  <si>
    <t>CP negativos (-)</t>
  </si>
  <si>
    <t>CA3 · Usuario duplicado</t>
  </si>
  <si>
    <t>Errores de nivel Baja (solo CP NOK)</t>
  </si>
  <si>
    <t>CA4</t>
  </si>
  <si>
    <t>Errores de nivel Media (solo CP NOK)</t>
  </si>
  <si>
    <t>Total CP</t>
  </si>
  <si>
    <t>Errores de nivel Alta (solo CP NOK)</t>
  </si>
  <si>
    <t>DETALLE (CP)</t>
  </si>
  <si>
    <t>Campos</t>
  </si>
  <si>
    <t>Valores</t>
  </si>
  <si>
    <t>Resultado real (OK / NOK)</t>
  </si>
  <si>
    <t>Evidencia (enlace) o descripción del fallo</t>
  </si>
  <si>
    <t>Tipo / Nivel del error</t>
  </si>
  <si>
    <t>HE1_HU1_CA1_CP001</t>
  </si>
  <si>
    <t>Nombre completo</t>
  </si>
  <si>
    <t>Pedro Ruiz</t>
  </si>
  <si>
    <t>Positivo (+)</t>
  </si>
  <si>
    <t>Entonces CA1: el sistema crea el usuario y muestra «Usuario registrado correctamente.»</t>
  </si>
  <si>
    <t>https://docs.google.com/document/d/1QQVp4MpEKhB28qrx3a3Iag5cRzZDnUSb/edit?usp=drive_link&amp;ouid=103533695958335943637&amp;rtpof=true&amp;sd=true</t>
  </si>
  <si>
    <t>[Verifica CA1] Precondición: sesión de administrador, pantalla Usuarios. Caso base. Queda registrado el documento 55550001 (lo usan otros CP).
Evidencia verificada (27/10/2026): el documento tiene una sección para este CP con 2 capturas que muestran los datos ingresados y el resultado esperado. El contador pasa de 5 a 6 usuarios.</t>
  </si>
  <si>
    <t>Número de documento</t>
  </si>
  <si>
    <t>55550001</t>
  </si>
  <si>
    <t>Teléfono</t>
  </si>
  <si>
    <t>3101234567</t>
  </si>
  <si>
    <t>Correo electrónico</t>
  </si>
  <si>
    <t>pedro@mail.com</t>
  </si>
  <si>
    <t>Rol</t>
  </si>
  <si>
    <t>usuario</t>
  </si>
  <si>
    <t>Contraseña</t>
  </si>
  <si>
    <t>Clave12345</t>
  </si>
  <si>
    <t>HE1_HU1_CA1_CP002</t>
  </si>
  <si>
    <t>Laura Mora</t>
  </si>
  <si>
    <t>Entonces CA1: el sistema crea el usuario y muestra «Entrenador registrado correctamente.» (mensaje según el rol, verificado en la evidencia).</t>
  </si>
  <si>
    <t>[Verifica CA1] Precondición: sesión de administrador, pantalla Usuarios. Rol entrenador y teléfono con indicativo.
Evidencia verificada (27/10/2026): la captura muestra «Entrenador registrado correctamente.» y el contador pasa de 6 a 7. Corrección: el resultado esperado decía «Usuario registrado correctamente.»; se ajustó al mensaje real del sistema, que depende del rol. Si el CA exige el texto exacto «Usuario registrado correctamente.», este CP sería NOK (Baja). Confirmar con la profesora.</t>
  </si>
  <si>
    <t>55550002</t>
  </si>
  <si>
    <t>+57 310 555 0002</t>
  </si>
  <si>
    <t>laura@mail.com</t>
  </si>
  <si>
    <t>entrenador</t>
  </si>
  <si>
    <t>Entren2026</t>
  </si>
  <si>
    <t>HE1_HU1_CA1_CP003</t>
  </si>
  <si>
    <t>Ana Torres</t>
  </si>
  <si>
    <t>Entonces CA1: el sistema crea el usuario y muestra «Administrador registrado correctamente.» (mensaje según el rol, verificado en la evidencia).</t>
  </si>
  <si>
    <t>[Verifica CA1] Precondición: sesión de administrador, pantalla Usuarios. Rol administrador y documento con letras.
Evidencia verificada (27/10/2026): la captura muestra «Administrador registrado correctamente.» y el contador pasa de 7 a 8. Misma corrección y misma confirmación pendiente que CA1_CP002.</t>
  </si>
  <si>
    <t>AB1234</t>
  </si>
  <si>
    <t>3205550003</t>
  </si>
  <si>
    <t>ana.torres@mail.com</t>
  </si>
  <si>
    <t>administrador</t>
  </si>
  <si>
    <t>Admin2026</t>
  </si>
  <si>
    <t>HE1_HU1_CA1_CP004</t>
  </si>
  <si>
    <t>Luis Gómez</t>
  </si>
  <si>
    <t>[Verifica CA1] Precondición: sesión de administrador, pantalla Usuarios. Valores límite: documento de 4 caracteres y contraseña de 8. Queda guardado como A123 (rol usuario, sin rutina: sirve para E2-HU4).
Evidencia verificada (27/10/2026): el documento tiene una sección para este CP con 2 capturas que muestran los datos ingresados y el resultado esperado. El contador queda en 8 usuarios.</t>
  </si>
  <si>
    <t>A123</t>
  </si>
  <si>
    <t>3005550004</t>
  </si>
  <si>
    <t>luis@mail.com</t>
  </si>
  <si>
    <t>Clave123</t>
  </si>
  <si>
    <t>HE1_HU1_CA2_CP001</t>
  </si>
  <si>
    <t>(vacío)</t>
  </si>
  <si>
    <t>Negativo (-)</t>
  </si>
  <si>
    <t>Entonces CA2: el sistema rechaza el registro y muestra «Faltan campos obligatorios: Nombre completo.»</t>
  </si>
  <si>
    <t>[Verifica CA2] Precondición: sesión de administrador, pantalla Usuarios. Un solo campo obligatorio vacío.
Evidencia verificada (27/10/2026): el documento tiene una sección para este CP con 2 capturas que muestran los datos ingresados y el resultado esperado.</t>
  </si>
  <si>
    <t>55550010</t>
  </si>
  <si>
    <t>p10@mail.com</t>
  </si>
  <si>
    <t>HE1_HU1_CA2_CP002</t>
  </si>
  <si>
    <t>Entonces CA2: el sistema rechaza el registro y muestra «Faltan campos obligatorios: Número de documento.»</t>
  </si>
  <si>
    <t>HE1_HU1_CA2_CP003</t>
  </si>
  <si>
    <t>Entonces CA2: el sistema rechaza el registro y muestra «Faltan campos obligatorios: Teléfono.»</t>
  </si>
  <si>
    <t>HE1_HU1_CA2_CP004</t>
  </si>
  <si>
    <t>Entonces CA2: el sistema rechaza el registro y muestra «Faltan campos obligatorios: Correo electrónico.»</t>
  </si>
  <si>
    <t>HE1_HU1_CA2_CP005</t>
  </si>
  <si>
    <t>Entonces CA2: el sistema rechaza el registro y muestra «Faltan campos obligatorios: Contraseña.»</t>
  </si>
  <si>
    <t>HE1_HU1_CA2_CP006</t>
  </si>
  <si>
    <t>Entonces CA2: el sistema rechaza el registro y muestra «Faltan campos obligatorios: Nombre completo, Número de documento, Teléfono, Correo electrónico, Contraseña.»</t>
  </si>
  <si>
    <t>[Verifica CA2] Precondición: sesión de administrador, pantalla Usuarios. Todos los campos obligatorios vacíos.
Evidencia verificada (27/10/2026): el documento tiene una sección para este CP con 2 capturas que muestran los datos ingresados y el resultado esperado.</t>
  </si>
  <si>
    <t>HE1_HU1_CA2_CP007</t>
  </si>
  <si>
    <t>Entonces CA2: el sistema rechaza el registro y muestra «Ingresa un correo electrónico válido.»</t>
  </si>
  <si>
    <t>[CP adicional] Precondición: sesión de administrador, pantalla Usuarios. CP adicional: el CA2 habla de campos vacíos; este valida el formato del correo.
Evidencia verificada (27/10/2026): el documento tiene una sección para este CP con 2 capturas que muestran los datos ingresados y el resultado esperado.</t>
  </si>
  <si>
    <t>pedro@</t>
  </si>
  <si>
    <t>HE1_HU1_CA2_CP008</t>
  </si>
  <si>
    <t>Entonces CA2: el sistema rechaza el registro y muestra «La contraseña debe tener entre 8 y 72 caracteres, con al menos una letra y un número.»</t>
  </si>
  <si>
    <t>[CP adicional] Precondición: sesión de administrador, pantalla Usuarios. CP adicional (formato de contraseña).
Evidencia verificada (27/10/2026): el documento tiene una sección para este CP con 2 capturas que muestran los datos ingresados y el resultado esperado.</t>
  </si>
  <si>
    <t>corta1</t>
  </si>
  <si>
    <t>HE1_HU1_CA2_CP009</t>
  </si>
  <si>
    <t>Entonces CA2: el sistema rechaza el registro y muestra el mismo mensaje de contraseña (falta un número).</t>
  </si>
  <si>
    <t>soloLetrasAqui</t>
  </si>
  <si>
    <t>HE1_HU1_CA3_CP001</t>
  </si>
  <si>
    <t>Carlos Díaz</t>
  </si>
  <si>
    <t>Entonces CA3: el sistema rechaza el registro y muestra «El usuario ya existe: hay un registro con ese documento.»</t>
  </si>
  <si>
    <t>[Verifica CA3] Precondición: sesión de administrador, pantalla Usuarios. Precondición extra: ya existe el documento 55550001 (CA1_CP001).
Evidencia verificada (27/10/2026): el documento tiene una sección para este CP con 2 capturas que muestran los datos ingresados y el resultado esperado.</t>
  </si>
  <si>
    <t>3115550005</t>
  </si>
  <si>
    <t>carlos@mail.com</t>
  </si>
  <si>
    <t>HE1_HU1_CA3_CP002</t>
  </si>
  <si>
    <t>Luisa Gómez</t>
  </si>
  <si>
    <t>[Verifica CA3] Precondición: sesión de administrador, pantalla Usuarios. Ya existe A123 (CA1_CP004). Se escribe en minúscula porque el sistema guarda los documentos en mayúscula.
Evidencia verificada (27/10/2026): el documento tiene una sección para este CP con 2 capturas que muestran los datos ingresados y el resultado esperado.</t>
  </si>
  <si>
    <t>a123</t>
  </si>
  <si>
    <t>3125550006</t>
  </si>
  <si>
    <t>luisa@mail.com</t>
  </si>
  <si>
    <t>HE1_HU1_CA3_CP003</t>
  </si>
  <si>
    <t>Mario Peña</t>
  </si>
  <si>
    <t>[Verifica CA3] Precondición: sesión de administrador, pantalla Usuarios. Mismo documento con otro rol y otros datos: sigue siendo duplicado.
Evidencia verificada (27/10/2026): el documento tiene una sección para este CP con 2 capturas que muestran los datos ingresados y el resultado esperado.</t>
  </si>
  <si>
    <t>3135550007</t>
  </si>
  <si>
    <t>mario@mail.com</t>
  </si>
  <si>
    <t>CP ADICIONALES PROPUESTOS POR ANÁLISIS DE RIESGOS · EJECUTADOS EL 27/10/2026 en una copia de pruebas (evidencia en Evidencias_E1-HU1_adicionales.docx; un CP marcado PENDIENTE no se pudo ejecutar)</t>
  </si>
  <si>
    <t>HE1_HU1_CA1_CP005</t>
  </si>
  <si>
    <t>&lt;img src=x onerror=alert(1)&gt; Prueba</t>
  </si>
  <si>
    <t>Validación adicional (no está en el CA): no se ejecuta ningún código: no aparece ventana emergente ni imagen rota. Si el sistema registra al usuario, la lista, el formulario de edición y el selector de asignación de E2-HU2 muestran el texto literal «&lt;img src=x onerror=alert(1)&gt; Prueba». Si se define una regla de caracteres permitidos para el nombre, el esperado pasa a ser el rechazo con mensaje.</t>
  </si>
  <si>
    <t>Evidencias_E1-HU1_adicionales.docx › HE1_HU1_CA1_CP005</t>
  </si>
  <si>
    <t>[CP adicional] Riesgo de seguridad (XSS almacenado): el nombre no tiene restricción de caracteres y lo ven administradores y entrenadores. Regla pendiente: caracteres permitidos en el nombre. Precondición: sesión de administrador, pantalla Usuarios. Al terminar, inactivar este usuario para no afectar otros CP. Prioridad de riesgo propuesta: Alta (no es nivel de error).</t>
  </si>
  <si>
    <t>55550014</t>
  </si>
  <si>
    <t>3101112235</t>
  </si>
  <si>
    <t>xss@mail.com</t>
  </si>
  <si>
    <t>HE1_HU1_CA1_CP006</t>
  </si>
  <si>
    <t>Pablo Ruiz</t>
  </si>
  <si>
    <t>Resultado esperado propuesto (regla pendiente de confirmar): el sistema rechaza el registro e indica que el correo ya pertenece a otro usuario. Si se confirma que el correo puede repetirse, el esperado es «Usuario registrado correctamente.» y el CP pasa a positivo.</t>
  </si>
  <si>
    <t>NOK: Aceptó un correo repetido (regla R01). Evidencias_E1-HU1_adicionales.docx › HE1_HU1_CA1_CP006</t>
  </si>
  <si>
    <t>Integridad de datos · Baja</t>
  </si>
  <si>
    <t>[CP adicional – regla pendiente] Riesgo de integridad: la base de datos solo exige documento único; el correo puede repetirse. Dos personas con el mismo correo generan confusión de contacto y en una futura recuperación de contraseña. No se presenta como requisito oficial. Precondición: existe pedro@mail.com (CA1_CP001). Prioridad de riesgo propuesta: Baja hasta confirmar la regla.</t>
  </si>
  <si>
    <t>55550016</t>
  </si>
  <si>
    <t>3101112237</t>
  </si>
  <si>
    <t>HE1_HU1_CA1_CP007</t>
  </si>
  <si>
    <t>Canal</t>
  </si>
  <si>
    <t>API: POST http://localhost:3000/api/usuarios (Postman o curl)</t>
  </si>
  <si>
    <t>Validación adicional: respuesta 403 con «No tienes permiso para realizar esta acción.»; no se crea el documento 55550017 (como administrador, buscar 55550017 → «No encontramos coincidencias»).</t>
  </si>
  <si>
    <t>Evidencias_E1-HU1_adicionales.docx › HE1_HU1_CA1_CP007</t>
  </si>
  <si>
    <t>[CP adicional] Riesgo de permisos: la pantalla oculta Usuarios al entrenador, pero la API debe bloquearlo por sí misma; si no, un entrenador podría crearse una cuenta de administrador. El token se obtiene con POST /api/auth/login. Prioridad de riesgo propuesta: Alta.</t>
  </si>
  <si>
    <t>Token</t>
  </si>
  <si>
    <t>Sesión de Entrenador Demo (10000002 / Saiya2026)</t>
  </si>
  <si>
    <t>Cuerpo JSON</t>
  </si>
  <si>
    <t>{"nombre":"Intruso Admin","documento":"55550017","telefono":"3101112238","correo":"intruso@mail.com","rol":"administrador","contrasena":"Clave12345"}</t>
  </si>
  <si>
    <t>HE1_HU1_CA2_CP010</t>
  </si>
  <si>
    <t>Sofía Lara</t>
  </si>
  <si>
    <t>Validación adicional: el sistema rechaza el registro, marca Teléfono y muestra «El teléfono debe tener entre 7 y 20 dígitos (puede incluir +, espacios o guiones).»; no se crea el documento 55550011 y el contador de usuarios no cambia.</t>
  </si>
  <si>
    <t>NOK: Aceptó teléfono sin dígitos «-------». Evidencias_E1-HU1_adicionales.docx › HE1_HU1_CA2_CP010</t>
  </si>
  <si>
    <t>Validación de datos · Media</t>
  </si>
  <si>
    <t>[CP adicional] Riesgo de integridad: el patrón del teléfono admite guiones y espacios dentro de los 7–20 caracteres, sin exigir dígitos, así que podría guardarse un teléfono sin números. El propio mensaje del sistema habla de «dígitos», por eso el rechazo es lo coherente. Nota de análisis del código: es probable que hoy lo acepte; si ocurre, registrar NOK (severidad sugerida: Media). Prioridad de riesgo propuesta: Media.</t>
  </si>
  <si>
    <t>55550011</t>
  </si>
  <si>
    <t>-------  (7 guiones, ningún dígito)</t>
  </si>
  <si>
    <t>sofia@mail.com</t>
  </si>
  <si>
    <t>HE1_HU1_CA2_CP011</t>
  </si>
  <si>
    <t>Validación adicional: rechaza el registro y muestra «El documento debe tener entre 4 y 20 letras o números, sin espacios.»; no se guarda ningún usuario con ese documento.</t>
  </si>
  <si>
    <t>Evidencias_E1-HU1_adicionales.docx › HE1_HU1_CA2_CP011</t>
  </si>
  <si>
    <t>[CP adicional] Riesgo de duplicidad: en Colombia es común escribir la cédula con puntos. Si se aceptara «55.550.001», la misma persona podría registrarse dos veces (con y sin puntos) y se esquivaría el CA3 (usuario duplicado). Precondición: sesión de administrador. Prioridad de riesgo propuesta: Alta.</t>
  </si>
  <si>
    <t>55.550.011</t>
  </si>
  <si>
    <t>3101112233</t>
  </si>
  <si>
    <t>HE1_HU1_CA2_CP012</t>
  </si>
  <si>
    <t>121 caracteres: la letra P repetida 121 veces (en Excel: =REPT("P";121))</t>
  </si>
  <si>
    <t>Validación adicional: rechaza el registro y muestra «El nombre debe tener máximo 120 caracteres.»; no aparece «Ocurrió un error inesperado en el servidor» ni se crea el usuario.</t>
  </si>
  <si>
    <t>Evidencias_E1-HU1_adicionales.docx › HE1_HU1_CA2_CP012</t>
  </si>
  <si>
    <t>[CP adicional] Valor límite superior + 1. Riesgo: la columna nombre es VARCHAR(120); si la validación fallara, el error llegaría a la base de datos y se vería un error genérico. Complemento: con 120 caracteres exactos el registro debe aceptarse. Prioridad de riesgo propuesta: Media.</t>
  </si>
  <si>
    <t>55550012</t>
  </si>
  <si>
    <t>3101112234</t>
  </si>
  <si>
    <t>largo@mail.com</t>
  </si>
  <si>
    <t>HE1_HU1_CA2_CP013</t>
  </si>
  <si>
    <t>Validación adicional: rechaza el registro y muestra «La contraseña debe tener entre 8 y 72 caracteres, con al menos una letra y un número.»</t>
  </si>
  <si>
    <t>Evidencias_E1-HU1_adicionales.docx › HE1_HU1_CA2_CP013</t>
  </si>
  <si>
    <t>[CP adicional] Límite superior + 1 de la regla 8–72 que define el propio sistema. Riesgo: bcrypt, el algoritmo que cifra las contraseñas, solo usa los primeros 72 bytes; con contraseñas más largas, cualquier variación después del carácter 72 abriría la misma cuenta. Regla pendiente: la validación cuenta caracteres, no bytes; 72 caracteres con tildes o «ñ» superan 72 bytes. Prioridad de riesgo propuesta: Media.</t>
  </si>
  <si>
    <t>55550013</t>
  </si>
  <si>
    <t>3101112239</t>
  </si>
  <si>
    <t>sofia13@mail.com</t>
  </si>
  <si>
    <t>73 caracteres: Clave1 seguido de 67 letras x (en Excel: ="Clave1"&amp;REPT("x";67))</t>
  </si>
  <si>
    <t>HE1_HU1_CA3_CP004</t>
  </si>
  <si>
    <t>Entonces CA3 (variante de formato): rechaza con «El usuario ya existe: hay un registro con ese documento.»; sigue habiendo un solo usuario con documento 55550001 (buscar 55550001 → 1 resultado).</t>
  </si>
  <si>
    <t>Evidencias_E1-HU1_adicionales.docx › HE1_HU1_CA3_CP004</t>
  </si>
  <si>
    <t>[CP adicional] Riesgo de duplicidad: si los espacios no se eliminaran antes de comparar, « 55550001 » se guardaría como un documento distinto. Precondición: existe 55550001 (CA1_CP001). Prioridad de riesgo propuesta: Alta.</t>
  </si>
  <si>
    <t xml:space="preserve"> 55550001  (un espacio antes y otro después)</t>
  </si>
  <si>
    <t>carlos2@mail.com</t>
  </si>
  <si>
    <t>HE1_HU1_CA3_CP005</t>
  </si>
  <si>
    <t>API: dos POST http://localhost:3000/api/usuarios enviados a la vez (Postman Runner o dos terminales con curl)</t>
  </si>
  <si>
    <t>Validación adicional: exactamente una petición responde 201 «Usuario registrado correctamente.» y la otra 409 «El usuario ya existe: hay un registro con ese documento.»; existe un único usuario 55550015 y ninguna respuesta es 500.</t>
  </si>
  <si>
    <t>Evidencias_E1-HU1_adicionales.docx › HE1_HU1_CA3_CP005</t>
  </si>
  <si>
    <t>[CP adicional] Riesgo de concurrencia (envío duplicado): dos solicitudes pueden pasar al mismo tiempo la verificación de duplicado. La restricción UNIQUE de la base de datos debe impedir el segundo registro y el sistema debe convertir ese error en el mensaje de duplicado. Prioridad de riesgo propuesta: Media.</t>
  </si>
  <si>
    <t>Sesión de Administrador Demo (10000001 / Saiya2026)</t>
  </si>
  <si>
    <t>{"nombre":"Doble Envío","documento":"55550015","telefono":"3101112236","correo":"doble@mail.com","rol":"usuario","contrasena":"Clave12345"}</t>
  </si>
  <si>
    <t>DISEÑO DE CASOS DE PRUEBA (CP) — SAIYAGYM · E1-HU2 Actualizar información de usuarios</t>
  </si>
  <si>
    <t>E1-HU2 — Actualizar información de usuarios</t>
  </si>
  <si>
    <t>CA1 · Actualización exitosa</t>
  </si>
  <si>
    <t>CA2 · Usuario no encontrado</t>
  </si>
  <si>
    <t>CA3 · Datos incompletos</t>
  </si>
  <si>
    <t>HE1_HU2_CA1_CP001</t>
  </si>
  <si>
    <t>Entonces CA1: el sistema guarda los cambios y muestra «Usuario actualizado correctamente.»</t>
  </si>
  <si>
    <t>https://docs.google.com/document/d/1qH6x9oWqjPh-aAiX5MJjBOjreEm26viX/edit?usp=drive_link&amp;ouid=103533695958335943637&amp;rtpof=true&amp;sd=true</t>
  </si>
  <si>
    <t>[Verifica CA1] Precondición: sesión de administrador; clic en «Editar» del usuario. Usuario: Pedro Ruiz (E1-HU1 CA1_CP001). Solo cambia el teléfono; la lista debe mostrar el nuevo valor.
Evidencia verificada (27/10/2026): el documento tiene una sección para este CP con 2 capturas que muestran los datos ingresados y el resultado esperado. La captura del resultado muestra el mensaje, pero no la fila con el nuevo teléfono; el valor 3109998877 sí se ve en la evidencia de E1-HU4.</t>
  </si>
  <si>
    <t>3109998877</t>
  </si>
  <si>
    <t>(vacío = conserva la actual)</t>
  </si>
  <si>
    <t>HE1_HU2_CA1_CP002</t>
  </si>
  <si>
    <t>Laura Mora Díaz</t>
  </si>
  <si>
    <t>[Verifica CA1] Precondición: sesión de administrador; clic en «Editar» del usuario. Usuario: Laura Mora (E1-HU1 CA1_CP002). Cambia nombre y correo.
Evidencia verificada (27/10/2026): el documento tiene una sección para este CP con 2 capturas que muestran los datos ingresados y el resultado esperado. La captura del resultado muestra el mensaje; el nombre y el correo nuevos se ven en la evidencia de E1-HU4.</t>
  </si>
  <si>
    <t>laura.mora@mail.com</t>
  </si>
  <si>
    <t>HE1_HU2_CA1_CP003</t>
  </si>
  <si>
    <t>[Verifica CA1] Precondición: sesión de administrador; clic en «Editar» del usuario. Cambio de contraseña: después Pedro debe poder iniciar sesión con Nueva2026.
Evidencia verificada (27/10/2026): el documento tiene una sección para este CP con 2 capturas que muestran los datos ingresados y el resultado esperado. Falta evidencia del inicio de sesión con Nueva2026 (solo se ve en E2-HU4, cuyo documento no es accesible). Agregar una captura del login de Pedro.</t>
  </si>
  <si>
    <t>Nueva2026</t>
  </si>
  <si>
    <t>HE1_HU2_CA2_CP001</t>
  </si>
  <si>
    <t>Temporal Prueba</t>
  </si>
  <si>
    <t>Entonces CA2: el sistema rechaza los cambios y muestra «El usuario no existe.»; el formulario se limpia y la lista se actualiza.</t>
  </si>
  <si>
    <t>[Verifica CA2] Precondición: sesión de administrador; clic en «Editar» del usuario. Usuario temporal 55559999: se registra, se pulsa «Editar» y, sin cerrar el formulario, se borra de la base de datos con SQL. Luego se cambia el teléfono y se pulsa «Guardar cambios» (pasos en el documento Pasos_E1-HU2).
Evidencia verificada (27/10/2026): el documento tiene una sección para este CP con 2 capturas que muestran los datos ingresados y el resultado esperado.</t>
  </si>
  <si>
    <t>55559999</t>
  </si>
  <si>
    <t>temporal@mail.com</t>
  </si>
  <si>
    <t>HE1_HU2_CA3_CP001</t>
  </si>
  <si>
    <t>Entonces CA3: el sistema rechaza los cambios y muestra «Faltan campos obligatorios: Nombre completo.»</t>
  </si>
  <si>
    <t>[Verifica CA3] Precondición: sesión de administrador; clic en «Editar» del usuario. Se borra el nombre y se guarda.
Evidencia verificada (27/10/2026): el documento tiene una sección para este CP con 2 capturas que muestran los datos ingresados y el resultado esperado.</t>
  </si>
  <si>
    <t>HE1_HU2_CA3_CP002</t>
  </si>
  <si>
    <t>Entonces CA3: el sistema rechaza los cambios y muestra «Faltan campos obligatorios: Correo electrónico.»</t>
  </si>
  <si>
    <t>[Verifica CA3] Precondición: sesión de administrador; clic en «Editar» del usuario. Se borra el correo y se guarda.
Evidencia verificada (27/10/2026): el documento tiene una sección para este CP con 2 capturas que muestran los datos ingresados y el resultado esperado.</t>
  </si>
  <si>
    <t>HE1_HU2_CA3_CP003</t>
  </si>
  <si>
    <t>Entonces CA3: el sistema rechaza los cambios y muestra «Faltan campos obligatorios: Nombre completo, Número de documento, Teléfono, Correo electrónico.»</t>
  </si>
  <si>
    <t>[Verifica CA3] Precondición: sesión de administrador; clic en «Editar» del usuario. Se borran todos los datos obligatorios.
Evidencia verificada (27/10/2026): el documento tiene una sección para este CP con 2 capturas que muestran los datos ingresados y el resultado esperado.</t>
  </si>
  <si>
    <t>HE1_HU2_CA3_CP004</t>
  </si>
  <si>
    <t>Entonces CA3: el sistema rechaza los cambios y muestra «El usuario ya existe: hay un registro con ese documento.»</t>
  </si>
  <si>
    <t>[CP adicional] Precondición: sesión de administrador; clic en «Editar» del usuario. CP adicional: el documento 10000003 ya pertenece a Camila Pérez.
Evidencia verificada (27/10/2026): el documento tiene una sección para este CP con 2 capturas que muestran los datos ingresados y el resultado esperado.</t>
  </si>
  <si>
    <t>10000003</t>
  </si>
  <si>
    <t>HE1_HU2_CA3_CP005</t>
  </si>
  <si>
    <t>Administrador Demo</t>
  </si>
  <si>
    <t>Entonces CA3: el sistema rechaza los cambios y muestra «No puedes cambiar tu propio rol.»</t>
  </si>
  <si>
    <t>[CP adicional] Precondición: sesión de administrador; clic en «Editar» del usuario. CP adicional: edita al administrador que tiene la sesión abierta (10000001) y cambia su rol.
Evidencia verificada (27/10/2026): el documento tiene una sección para este CP con 2 capturas que muestran los datos ingresados y el resultado esperado.</t>
  </si>
  <si>
    <t>10000001</t>
  </si>
  <si>
    <t>3000000001</t>
  </si>
  <si>
    <t>admin@saiyagym.test</t>
  </si>
  <si>
    <t>CP ADICIONALES PROPUESTOS POR ANÁLISIS DE RIESGOS · EJECUTADOS EL 27/10/2026 en una copia de pruebas (evidencia en Evidencias_E1-HU2_adicionales.docx; un CP marcado PENDIENTE no se pudo ejecutar)</t>
  </si>
  <si>
    <t>HE1_HU2_CA1_CP004</t>
  </si>
  <si>
    <t>Usuario editado</t>
  </si>
  <si>
    <t>Ana Torres (AB1234): rol administrador → usuario</t>
  </si>
  <si>
    <t>Validación adicional: se guarda con «Usuario actualizado correctamente.» y, en la sesión de Ana, la búsqueda es rechazada con «No tienes permiso para realizar esta acción.»: el cambio de rol tiene efecto inmediato, no al cerrar sesión.</t>
  </si>
  <si>
    <t>Evidencias_E1-HU2_adicionales.docx › HE1_HU2_CA1_CP004</t>
  </si>
  <si>
    <t>[CP adicional] Riesgo: registro que cambia mientras se usa. La sesión dura 8 h; si el rol se leyera solo del token, Ana seguiría administrando usuarios. Al terminar, devolver a Ana el rol administrador. Prioridad de riesgo propuesta: Alta.</t>
  </si>
  <si>
    <t>Sesión 1</t>
  </si>
  <si>
    <t>Sesión de Administrador Demo (10000001 / Saiya2026): edita a Ana y pulsa «Guardar cambios»</t>
  </si>
  <si>
    <t>Sesión 2</t>
  </si>
  <si>
    <t>Ana Torres (AB1234 / Admin2026) con la pantalla Usuarios abierta en otro navegador</t>
  </si>
  <si>
    <t>Acción final</t>
  </si>
  <si>
    <t>En la sesión 2, pulsar «Buscar» con el texto «camila»</t>
  </si>
  <si>
    <t>HE1_HU2_CA2_CP002</t>
  </si>
  <si>
    <t>API: PUT http://localhost:3000/api/usuarios/2147483648</t>
  </si>
  <si>
    <t>Validación adicional: respuesta 400 «El id de usuario indicado no es válido.»; ningún usuario cambia y no hay error 500.</t>
  </si>
  <si>
    <t>Evidencias_E1-HU2_adicionales.docx › HE1_HU2_CA2_CP002</t>
  </si>
  <si>
    <t>[CP adicional] Riesgo: 2147483648 supera el entero máximo de PostgreSQL (INTEGER); sin validación, la consulta fallaría con error interno. Es además una forma reproducible de probar el CA2 sin borrar datos con SQL. Prioridad de riesgo propuesta: Baja.</t>
  </si>
  <si>
    <t>{"nombre":"Pedro Ruiz","documento":"55550001","telefono":"3109998877","correo":"pedro@mail.com","rol":"usuario"}</t>
  </si>
  <si>
    <t>HE1_HU2_CA3_CP006</t>
  </si>
  <si>
    <t>Usuario</t>
  </si>
  <si>
    <t>Pedro Ruiz (55550001)</t>
  </si>
  <si>
    <t>Validación adicional: rechaza con «La contraseña debe tener entre 8 y 72 caracteres, con al menos una letra y un número.»; Pedro sigue entrando con Nueva2026 y no con abcdefgh.</t>
  </si>
  <si>
    <t>Evidencias_E1-HU2_adicionales.docx › HE1_HU2_CA3_CP006</t>
  </si>
  <si>
    <t>[CP adicional] Riesgo: que la edición aplique reglas más débiles que el registro y deje una contraseña insegura. Precondición: CA1_CP003 ejecutado (contraseña Nueva2026). Prioridad de riesgo propuesta: Media.</t>
  </si>
  <si>
    <t>Nombre, documento, teléfono, correo, rol</t>
  </si>
  <si>
    <t>sin cambios</t>
  </si>
  <si>
    <t>Nueva contraseña</t>
  </si>
  <si>
    <t>abcdefgh  (8 letras, sin número)</t>
  </si>
  <si>
    <t>HE1_HU2_CA3_CP007</t>
  </si>
  <si>
    <t>Entonces CA3 (variante): rechaza con «Faltan campos obligatorios: Teléfono.»; el teléfono guardado sigue siendo 3109998877.</t>
  </si>
  <si>
    <t>Evidencias_E1-HU2_adicionales.docx › HE1_HU2_CA3_CP007</t>
  </si>
  <si>
    <t>[CP adicional] Riesgo: un campo «lleno» de espacios parece completo en pantalla y podría dejar un teléfono vacío en la base de datos. Prioridad de riesgo propuesta: Media.</t>
  </si>
  <si>
    <t>8 espacios en blanco</t>
  </si>
  <si>
    <t>Demás campos</t>
  </si>
  <si>
    <t>HE1_HU2_CA3_CP008</t>
  </si>
  <si>
    <t>API: PUT http://localhost:3000/api/usuarios/{id de Camila} (consultar el id como administrador)</t>
  </si>
  <si>
    <t>Validación adicional: respuesta 403 «No tienes permiso para realizar esta acción.»; Camila conserva el rol usuario (verificarlo como administrador).</t>
  </si>
  <si>
    <t>Evidencias_E1-HU2_adicionales.docx › HE1_HU2_CA3_CP008</t>
  </si>
  <si>
    <t>[CP adicional] Riesgo de escalada de privilegios: un usuario del gimnasio intenta modificar sus propios datos y darse el rol administrador. Prioridad de riesgo propuesta: Alta.</t>
  </si>
  <si>
    <t>Sesión de Camila Pérez (10000003 / Saiya2026)</t>
  </si>
  <si>
    <t>{"nombre":"Camila Pérez","documento":"10000003","telefono":"3000000003","correo":"camila@saiyagym.test","rol":"administrador"}</t>
  </si>
  <si>
    <t>DISEÑO DE CASOS DE PRUEBA (CP) — SAIYAGYM · E1-HU3 Consultar información de usuarios</t>
  </si>
  <si>
    <t>E1-HU3 — Consultar información de usuarios</t>
  </si>
  <si>
    <t>CA1 · Usuario encontrado</t>
  </si>
  <si>
    <t>CA3 · Criterio de búsqueda vacío</t>
  </si>
  <si>
    <t>HE1_HU3_CA1_CP001</t>
  </si>
  <si>
    <t>Campo de búsqueda</t>
  </si>
  <si>
    <t>Entonces CA1: el sistema muestra solo a Camila Pérez con sus datos (documento, teléfono, correo, rol, estado).</t>
  </si>
  <si>
    <t>https://docs.google.com/document/d/1_C8d_ZDSL8BJSZhFncwF0chnvJCmjNM0/edit?usp=drive_link&amp;ouid=103533695958335943637&amp;rtpof=true&amp;sd=true</t>
  </si>
  <si>
    <t>[Verifica CA1] Precondición: sesión de administrador, lista «Usuarios registrados». Se usan los usuarios de demostración (db:seed). Búsqueda por documento.
Evidencia verificada (27/10/2026): el documento tiene una sección para este CP con 2 capturas que muestran los datos ingresados y el resultado esperado.</t>
  </si>
  <si>
    <t>Acción</t>
  </si>
  <si>
    <t>Clic en «Buscar»</t>
  </si>
  <si>
    <t>HE1_HU3_CA1_CP002</t>
  </si>
  <si>
    <t>camila</t>
  </si>
  <si>
    <t>Entonces CA1: el sistema muestra a Camila Pérez (la búsqueda no distingue mayúsculas).</t>
  </si>
  <si>
    <t>[Verifica CA1] Precondición: sesión de administrador, lista «Usuarios registrados». Se usan los usuarios de demostración (db:seed). Búsqueda por nombre parcial en minúscula.
Evidencia verificada (27/10/2026): el documento tiene una sección para este CP con 2 capturas que muestran los datos ingresados y el resultado esperado.</t>
  </si>
  <si>
    <t>HE1_HU3_CA1_CP003</t>
  </si>
  <si>
    <t>gómez</t>
  </si>
  <si>
    <t>Entonces CA1: el sistema muestra a Andrés Gómez con estado Inactivo.</t>
  </si>
  <si>
    <t>[Verifica CA1] Precondición: sesión de administrador, lista «Usuarios registrados». Se usan los usuarios de demostración (db:seed). Búsqueda por apellido: aparecen también otros usuarios cuyo nombre contenga «gómez» (por ejemplo Luis Gómez si ya se registró).
Evidencia verificada (27/10/2026): el documento tiene una sección para este CP con 2 capturas que muestran los datos ingresados y el resultado esperado.</t>
  </si>
  <si>
    <t>HE1_HU3_CA2_CP001</t>
  </si>
  <si>
    <t>zzz999</t>
  </si>
  <si>
    <t>Entonces CA2: la lista queda vacía y muestra el recuadro «No encontramos coincidencias» con el texto «No se encontró ningún usuario con ese nombre o documento.»</t>
  </si>
  <si>
    <t>[Verifica CA2] Precondición: sesión de administrador, lista «Usuarios registrados». Se usan los usuarios de demostración (db:seed). Texto que no existe.
Evidencia verificada (27/10/2026): el documento tiene una sección para este CP con 2 capturas que muestran los datos ingresados y el resultado esperado.</t>
  </si>
  <si>
    <t>HE1_HU3_CA2_CP002</t>
  </si>
  <si>
    <t>99999999</t>
  </si>
  <si>
    <t>[Verifica CA2] Precondición: sesión de administrador, lista «Usuarios registrados». Se usan los usuarios de demostración (db:seed). Documento que no existe.
Evidencia verificada (27/10/2026): el documento tiene una sección para este CP con 2 capturas que muestran los datos ingresados y el resultado esperado.</t>
  </si>
  <si>
    <t>HE1_HU3_CA3_CP001</t>
  </si>
  <si>
    <t>Entonces CA3: el sistema muestra «Ingresa un nombre o número de documento para buscar.»</t>
  </si>
  <si>
    <t>[Verifica CA3] Precondición: sesión de administrador, lista «Usuarios registrados». Se usan los usuarios de demostración (db:seed). Campo vacío.
Evidencia verificada (27/10/2026): el documento tiene una sección para este CP con 2 capturas que muestran los datos ingresados y el resultado esperado. Observación: junto al mensaje, la pantalla muestra «0 usuarios» y «No encontramos coincidencias»; ver HE1_HU3_CA3_CP003.</t>
  </si>
  <si>
    <t>HE1_HU3_CA3_CP002</t>
  </si>
  <si>
    <t xml:space="preserve">   (solo espacios)</t>
  </si>
  <si>
    <t>[Verifica CA3] Precondición: sesión de administrador, lista «Usuarios registrados». Se usan los usuarios de demostración (db:seed). Solo espacios: se trata como vacío.
Evidencia verificada (27/10/2026): el documento tiene una sección para este CP con 2 capturas que muestran los datos ingresados y el resultado esperado. Misma observación que CA3_CP001; ver HE1_HU3_CA3_CP003.</t>
  </si>
  <si>
    <t>CP ADICIONALES PROPUESTOS POR ANÁLISIS DE RIESGOS · EJECUTADOS EL 27/10/2026 en una copia de pruebas (evidencia en Evidencias_E1-HU3_adicionales.docx; un CP marcado PENDIENTE no se pudo ejecutar)</t>
  </si>
  <si>
    <t>HE1_HU3_CA1_CP004</t>
  </si>
  <si>
    <t>perez  (sin tilde)</t>
  </si>
  <si>
    <t>Resultado esperado propuesto (regla pendiente): muestra a Camila Pérez, porque un administrador puede escribir sin tilde. Si se confirma que la búsqueda debe respetar las tildes, el esperado es «No encontramos coincidencias».</t>
  </si>
  <si>
    <t>NOK: «perez» no encuentra a «Pérez» (regla R04). Evidencias_E1-HU3_adicionales.docx › HE1_HU3_CA1_CP004</t>
  </si>
  <si>
    <t>Funcional (búsqueda) · Baja</t>
  </si>
  <si>
    <t>[CP adicional – regla pendiente] Riesgo de usabilidad: la búsqueda ignora mayúsculas (CA1_CP002), pero no hay prueba de que ignore tildes; un usuario existente parecería no registrado y podría intentarse registrar de nuevo. Nota de análisis: la consulta usa ILIKE, que distingue tildes; si no lo encuentra y se confirma la regla, registrar NOK (severidad sugerida: Baja). Prioridad de riesgo propuesta: Baja.</t>
  </si>
  <si>
    <t>HE1_HU3_CA1_CP005</t>
  </si>
  <si>
    <t>API: GET http://localhost:3000/api/usuarios?buscar=camila</t>
  </si>
  <si>
    <t>Validación adicional: respuesta 403 «No tienes permiso para realizar esta acción.»; no se devuelven teléfono ni correo. Además, GET http://localhost:3000/api/asignaciones/usuarios no debe incluir «telefono» ni «correo».</t>
  </si>
  <si>
    <t>Evidencias_E1-HU3_adicionales.docx › HE1_HU3_CA1_CP005</t>
  </si>
  <si>
    <t>[CP adicional] Riesgo de privacidad: teléfono y correo son datos personales y la consulta de usuarios es del administrador. Prioridad de riesgo propuesta: Alta.</t>
  </si>
  <si>
    <t>HE1_HU3_CA2_CP003</t>
  </si>
  <si>
    <t>%</t>
  </si>
  <si>
    <t>Entonces CA2 (variante): muestra «No encontramos coincidencias» con «No se encontró ningún usuario con ese nombre o documento.» (ningún nombre ni documento contiene «%»); no debe listar a todos los usuarios.</t>
  </si>
  <si>
    <t>Evidencias_E1-HU3_adicionales.docx › HE1_HU3_CA2_CP003</t>
  </si>
  <si>
    <t>[CP adicional] Riesgo: en SQL «%» es comodín; si no se escapa, la búsqueda devuelve todo el directorio y deja de filtrar. Probar también «_». Prioridad de riesgo propuesta: Media.</t>
  </si>
  <si>
    <t>HE1_HU3_CA2_CP004</t>
  </si>
  <si>
    <t>' OR '1'='1</t>
  </si>
  <si>
    <t>Entonces CA2 (variante): muestra «No encontramos coincidencias»; no aparece error del servidor y, al pulsar «Limpiar», el directorio muestra todos los usuarios con sus datos intactos.</t>
  </si>
  <si>
    <t>Evidencias_E1-HU3_adicionales.docx › HE1_HU3_CA2_CP004</t>
  </si>
  <si>
    <t>[CP adicional] Riesgo de seguridad (inyección SQL) en el único texto libre que llega a una consulta. Prioridad de riesgo propuesta: Alta.</t>
  </si>
  <si>
    <t>Clic en «Buscar»; luego «Limpiar»</t>
  </si>
  <si>
    <t>HE1_HU3_CA3_CP003</t>
  </si>
  <si>
    <t>Estado inicial</t>
  </si>
  <si>
    <t>Lista completa, sin filtro (pulsar «Limpiar»); anotar el contador, p. ej. «8 usuarios»</t>
  </si>
  <si>
    <t>Entonces CA3: muestra «Ingresa un nombre o número de documento para buscar.» y la lista conserva todos los usuarios con su contador; no debe mostrar «0 usuarios» ni «No encontramos coincidencias», porque sí hay usuarios.</t>
  </si>
  <si>
    <t>Evidencias_E1-HU3_adicionales.docx › HE1_HU3_CA3_CP003</t>
  </si>
  <si>
    <t>[CP adicional] Hallazgo en la evidencia de CA3_CP001 y CA3_CP002: junto al mensaje correcto, la pantalla muestra «0 usuarios» y «No encontramos coincidencias», información contradictoria. No se sabe si viene de la búsqueda anterior (zzz999); por eso este CP parte de la lista completa. Si se repite, registrar NOK (severidad sugerida: Baja: información engañosa con alternativa sencilla, «Limpiar»). Prioridad de riesgo propuesta: Baja.</t>
  </si>
  <si>
    <t>DISEÑO DE CASOS DE PRUEBA (CP) — SAIYAGYM · E1-HU4 Gestionar estado de usuarios</t>
  </si>
  <si>
    <t>E1-HU4 — Gestionar estado de usuarios</t>
  </si>
  <si>
    <t>CA1 · Activar usuario</t>
  </si>
  <si>
    <t>CA2 · Inactivar usuario</t>
  </si>
  <si>
    <t>CA3 · Usuario no encontrado</t>
  </si>
  <si>
    <t>HE1_HU4_CA1_CP001</t>
  </si>
  <si>
    <t>Andrés Gómez (10000004)</t>
  </si>
  <si>
    <t>Entonces CA1: el sistema cambia el estado a Activo y muestra «Andrés Gómez fue activado correctamente.»</t>
  </si>
  <si>
    <t>https://docs.google.com/document/d/1-qbGi9E85ciCa6cZzggyylpTzn9xzpVn/edit?usp=drive_link&amp;ouid=103533695958335943637&amp;rtpof=true&amp;sd=true</t>
  </si>
  <si>
    <t>[Verifica CA1] Precondición: sesión de administrador, lista «Usuarios registrados». Usuario inactivo de demostración (db:seed).
Evidencia verificada (27/10/2026): el documento tiene una sección para este CP con 2 capturas que muestran los datos ingresados y el resultado esperado.</t>
  </si>
  <si>
    <t>Estado actual</t>
  </si>
  <si>
    <t>Inactivo</t>
  </si>
  <si>
    <t>Clic en «Activar»</t>
  </si>
  <si>
    <t>HE1_HU4_CA1_CP002</t>
  </si>
  <si>
    <t>Entonces CA1: el sistema cambia el estado a Activo y muestra «Pedro Ruiz fue activado correctamente.»</t>
  </si>
  <si>
    <t>[Verifica CA1] Precondición: sesión de administrador, lista «Usuarios registrados». Precondición extra: Pedro ya fue inactivado en CA2_CP001.
Evidencia verificada (27/10/2026): el documento tiene una sección para este CP con 2 capturas que muestran los datos ingresados y el resultado esperado.</t>
  </si>
  <si>
    <t>HE1_HU4_CA2_CP001</t>
  </si>
  <si>
    <t>Entonces CA2: el sistema cambia el estado a Inactivo y muestra «Pedro Ruiz fue inactivado correctamente.»</t>
  </si>
  <si>
    <t>[Verifica CA2] Precondición: sesión de administrador, lista «Usuarios registrados». El registro NO se elimina: solo cambia el estado.
Evidencia verificada (27/10/2026): el documento tiene una sección para este CP con 2 capturas que muestran los datos ingresados y el resultado esperado.</t>
  </si>
  <si>
    <t>Activo</t>
  </si>
  <si>
    <t>Clic en «Inactivar»</t>
  </si>
  <si>
    <t>HE1_HU4_CA2_CP002</t>
  </si>
  <si>
    <t>Laura Mora Díaz (55550002)</t>
  </si>
  <si>
    <t>Entonces CA2: el sistema cambia el estado a Inactivo y muestra «Laura Mora Díaz fue inactivado correctamente.»</t>
  </si>
  <si>
    <t>[Verifica CA2] Precondición: sesión de administrador, lista «Usuarios registrados». Después se vuelve a activar para no afectar otras pruebas.
Evidencia verificada (27/10/2026): el documento tiene una sección para este CP con 2 capturas que muestran los datos ingresados y el resultado esperado.</t>
  </si>
  <si>
    <t>HE1_HU4_CA3_CP001</t>
  </si>
  <si>
    <t>Temporal 2 (55559998)</t>
  </si>
  <si>
    <t>Entonces CA3: el sistema rechaza el cambio y muestra «El usuario no existe.»</t>
  </si>
  <si>
    <t>[Verifica CA3] Precondición: sesión de administrador, lista «Usuarios registrados». Usuario temporal 55559998: se registra, y con la fila visible se borra de la base de datos con SQL; luego se pulsa «Inactivar» (pasos en el documento Pasos_E1-HU4).
Evidencia verificada (27/10/2026): el documento tiene una sección para este CP con 2 capturas que muestran los datos ingresados y el resultado esperado.</t>
  </si>
  <si>
    <t>Activo (la fila sigue en pantalla pero ya se borró de la base de datos)</t>
  </si>
  <si>
    <t>HE1_HU4_CA3_CP002</t>
  </si>
  <si>
    <t>Administrador Demo (10000001): la fila del propio administrador</t>
  </si>
  <si>
    <t>Entonces CA3: el botón «Inactivar» de esa fila aparece deshabilitado y al pasar el cursor muestra «No puedes cambiar el estado de tu propio usuario»; no se puede inactivar.</t>
  </si>
  <si>
    <t>[CP adicional] Precondición: sesión de administrador, lista «Usuarios registrados». CP adicional: el administrador no puede inactivarse a sí mismo (el sistema lo impide desde la pantalla).
Evidencia parcial (27/10/2026): hay una sola captura; muestra «Inactivar» deshabilitado en la fila del administrador, pero no el texto emergente «No puedes cambiar el estado de tu propio usuario». Capturar de nuevo con el cursor sobre el botón. Nota: está clasificado en CA3 (usuario no encontrado) aunque es otra regla; se conserva el ID para no romper la relación con la evidencia. La regla en el servidor se prueba en HE1_HU4_CA3_CP003.</t>
  </si>
  <si>
    <t>Intentar pulsar «Inactivar»</t>
  </si>
  <si>
    <t>CP ADICIONALES PROPUESTOS POR ANÁLISIS DE RIESGOS · EJECUTADOS EL 27/10/2026 en una copia de pruebas (evidencia en Evidencias_E1-HU4_adicionales.docx; un CP marcado PENDIENTE no se pudo ejecutar)</t>
  </si>
  <si>
    <t>HE1_HU4_CA1_CP003</t>
  </si>
  <si>
    <t>Pedro Ruiz (55550001) con «Cardio básico» vigente (E2-HU2 CA1_CP002)</t>
  </si>
  <si>
    <t>Validación adicional: tras activarlo, Pedro ve «TU RUTINA ACTUAL» con «Cardio básico» y la misma fecha de asignación; inactivar no borra ni altera su historial.</t>
  </si>
  <si>
    <t>Evidencias_E1-HU4_adicionales.docx › HE1_HU4_CA1_CP003</t>
  </si>
  <si>
    <t>[CP adicional] Riesgo de integridad entre módulos: el CA2 dice que el registro no se elimina; este CP comprueba que tampoco se pierdan sus relaciones. Ejecutar después de E2-HU2. Regla pendiente: si al inactivar debe retirarse la rutina, el esperado cambia. Prioridad de riesgo propuesta: Media.</t>
  </si>
  <si>
    <t>Inactivar y luego Activar</t>
  </si>
  <si>
    <t>Verificación</t>
  </si>
  <si>
    <t>Pedro inicia sesión (Nueva2026) → «Mi rutina»</t>
  </si>
  <si>
    <t>HE1_HU4_CA2_CP003</t>
  </si>
  <si>
    <t>Pedro Ruiz (55550001), Activo, con sesión abierta en «Mi rutina» en otro navegador</t>
  </si>
  <si>
    <t>Validación adicional: Pedro ya no ve su rutina: la recarga muestra «Tu usuario está inactivo. Comunícate con el administrador.» o lo devuelve al inicio de sesión.</t>
  </si>
  <si>
    <t>Evidencias_E1-HU4_adicionales.docx › HE1_HU4_CA2_CP003</t>
  </si>
  <si>
    <t>[CP adicional] Riesgo: estado que cambia mientras se usa. Si el estado solo se revisara al iniciar sesión, un usuario inactivado seguiría entrando hasta 8 h. Al terminar, activar a Pedro. Prioridad de riesgo propuesta: Alta.</t>
  </si>
  <si>
    <t>Acción 1</t>
  </si>
  <si>
    <t>El administrador pulsa «Inactivar» en la fila de Pedro</t>
  </si>
  <si>
    <t>Acción 2</t>
  </si>
  <si>
    <t>Pedro recarga «Mi rutina»</t>
  </si>
  <si>
    <t>HE1_HU4_CA2_CP004</t>
  </si>
  <si>
    <t>Documento (login)</t>
  </si>
  <si>
    <t>Validación adicional: no inicia sesión y muestra «Tu usuario está inactivo. Comunícate con el administrador.»</t>
  </si>
  <si>
    <t>Evidencias_E1-HU4_adicionales.docx › HE1_HU4_CA2_CP004</t>
  </si>
  <si>
    <t>[CP adicional] Riesgo: el CA2 cambia el estado, pero ningún CP comprueba su efecto: un usuario inactivo no debe poder ingresar. Complemento: con contraseña errada debe responder «Documento o contraseña incorrectos.», sin revelar el estado de la cuenta. Prioridad de riesgo propuesta: Alta.</t>
  </si>
  <si>
    <t>Estado de Pedro</t>
  </si>
  <si>
    <t>HE1_HU4_CA3_CP003</t>
  </si>
  <si>
    <t>API: PATCH http://localhost:3000/api/usuarios/{id de Administrador Demo}/estado</t>
  </si>
  <si>
    <t>Validación adicional: respuesta 409 «No puedes inactivar tu propio usuario.»; el administrador sigue Activo.</t>
  </si>
  <si>
    <t>Evidencias_E1-HU4_adicionales.docx › HE1_HU4_CA3_CP003</t>
  </si>
  <si>
    <t>[CP adicional] CA3_CP002 solo comprueba el botón deshabilitado en pantalla; este CP verifica que la regla exista también en el servidor. Riesgo: que el único administrador quede bloqueado y nadie pueda gestionar usuarios. Prioridad de riesgo propuesta: Alta.</t>
  </si>
  <si>
    <t>{"estado":"Inactivo"}</t>
  </si>
  <si>
    <t>HE1_HU4_CA3_CP004</t>
  </si>
  <si>
    <t>API: PATCH http://localhost:3000/api/usuarios/{id de Luis Gómez}/estado</t>
  </si>
  <si>
    <t>Validación adicional: respuesta 400 «El estado debe ser Activo o Inactivo.»; Luis sigue Activo.</t>
  </si>
  <si>
    <t>Evidencias_E1-HU4_adicionales.docx › HE1_HU4_CA3_CP004</t>
  </si>
  <si>
    <t>[CP adicional] Riesgo: un estado fuera de la lista dejaría al usuario en una situación que ninguna pantalla sabe mostrar. Probar también «inactivo» en minúscula (debe rechazarse igual). Prioridad de riesgo propuesta: Baja.</t>
  </si>
  <si>
    <t>{"estado":"Eliminado"}</t>
  </si>
  <si>
    <t>DISEÑO DE CASOS DE PRUEBA (CP) — SAIYAGYM · E2-HU1 Crear rutina de entrenamiento</t>
  </si>
  <si>
    <t>Rol que ejecuta: Entrenador. Celdas amarillas = para completar al ejecutar. Alcance y estadísticas se calculan solos.</t>
  </si>
  <si>
    <t>E2-HU1 — Crear rutina de entrenamiento</t>
  </si>
  <si>
    <t>Gestión de rutinas (Sprint 2)</t>
  </si>
  <si>
    <t>CA1 · Creación exitosa</t>
  </si>
  <si>
    <t>CA2 · Datos incompletos</t>
  </si>
  <si>
    <t>CA3 · Ejercicio no seleccionado</t>
  </si>
  <si>
    <t>HE2_HU1_CA1_CP001</t>
  </si>
  <si>
    <t>Nombre de la rutina</t>
  </si>
  <si>
    <t>Fuerza tren superior</t>
  </si>
  <si>
    <t>Entonces CA1: el sistema crea la rutina y muestra «Rutina registrada correctamente.»</t>
  </si>
  <si>
    <t>https://docs.google.com/document/d/1NfQHTG3vGCu2g09koHiX7udgol7BF719/edit?usp=drive_link&amp;ouid=103533695958335943637&amp;rtpof=true&amp;sd=true</t>
  </si>
  <si>
    <t>[Verifica CA1] Precondición: sesión de entrenador (10000002), pantalla Rutinas, formulario «Nueva rutina». Rutina de 2 ejercicios. Se usa luego en E2-HU2 y E2-HU4.
Evidencia verificada (27/10/2026): el documento tiene una sección para este CP con 2 capturas que muestran los datos ingresados y el resultado esperado.</t>
  </si>
  <si>
    <t>Objetivo</t>
  </si>
  <si>
    <t>Ganar fuerza y masa muscular</t>
  </si>
  <si>
    <t>Ejercicio 1</t>
  </si>
  <si>
    <t>Press banca · 4 series x 10 rep.</t>
  </si>
  <si>
    <t>Ejercicio 2</t>
  </si>
  <si>
    <t>Remo con barra · 4 series x 10 rep.</t>
  </si>
  <si>
    <t>HE2_HU1_CA1_CP002</t>
  </si>
  <si>
    <t>Cardio básico</t>
  </si>
  <si>
    <t>[Verifica CA1] Precondición: sesión de entrenador (10000002), pantalla Rutinas, formulario «Nueva rutina». Rutina con un solo ejercicio (mínimo permitido).
Evidencia verificada (27/10/2026): el documento tiene una sección para este CP con 2 capturas que muestran los datos ingresados y el resultado esperado.</t>
  </si>
  <si>
    <t>Mejorar resistencia</t>
  </si>
  <si>
    <t>Sentadilla libre · 3 series x 15 rep.</t>
  </si>
  <si>
    <t>HE2_HU1_CA1_CP003</t>
  </si>
  <si>
    <t>Pierna intensiva</t>
  </si>
  <si>
    <t>[Verifica CA1] Precondición: sesión de entrenador (10000002), pantalla Rutinas, formulario «Nueva rutina». Valores límite: 20 series y 200 repeticiones (máximos permitidos).
Evidencia verificada (27/10/2026): el documento tiene una sección para este CP con 2 capturas que muestran los datos ingresados y el resultado esperado.</t>
  </si>
  <si>
    <t>Aumentar resistencia muscular</t>
  </si>
  <si>
    <t>Prensa de piernas · 20 series x 200 rep.</t>
  </si>
  <si>
    <t>HE2_HU1_CA2_CP001</t>
  </si>
  <si>
    <t>Entonces CA2: el sistema rechaza el registro y muestra «Faltan datos obligatorios de la rutina: Nombre de la rutina.»</t>
  </si>
  <si>
    <t>[Verifica CA2] Precondición: sesión de entrenador (10000002), pantalla Rutinas, formulario «Nueva rutina». Nombre vacío.
Evidencia verificada (27/10/2026): el documento tiene una sección para este CP con 2 capturas que muestran los datos ingresados y el resultado esperado.</t>
  </si>
  <si>
    <t>Ganar fuerza</t>
  </si>
  <si>
    <t>HE2_HU1_CA2_CP002</t>
  </si>
  <si>
    <t>Entonces CA2: el sistema rechaza el registro y muestra «Faltan datos obligatorios de la rutina: Objetivo.»</t>
  </si>
  <si>
    <t>[Verifica CA2] Precondición: sesión de entrenador (10000002), pantalla Rutinas, formulario «Nueva rutina». Objetivo vacío.
Evidencia verificada (27/10/2026): el documento tiene una sección para este CP con 2 capturas que muestran los datos ingresados y el resultado esperado.</t>
  </si>
  <si>
    <t>HE2_HU1_CA2_CP003</t>
  </si>
  <si>
    <t>Entonces CA2: el sistema rechaza el registro y muestra «Faltan datos obligatorios de la rutina: Nombre de la rutina, Objetivo.»</t>
  </si>
  <si>
    <t>[Verifica CA2] Precondición: sesión de entrenador (10000002), pantalla Rutinas, formulario «Nueva rutina». Nombre y objetivo vacíos.
Evidencia verificada (27/10/2026): el documento tiene una sección para este CP con 2 capturas que muestran los datos ingresados y el resultado esperado.</t>
  </si>
  <si>
    <t>HE2_HU1_CA2_CP004</t>
  </si>
  <si>
    <t>Rutina X</t>
  </si>
  <si>
    <t>Entonces CA2: el sistema rechaza el registro y muestra «El ejercicio 1 no es válido: series entre 1 y 20, repeticiones entre 1 y 200 y nombre de máximo 120 caracteres.»</t>
  </si>
  <si>
    <t>[CP adicional] Precondición: sesión de entrenador (10000002), pantalla Rutinas, formulario «Nueva rutina». CP adicional: 21 series (fuera del límite).
Evidencia verificada (27/10/2026): el documento tiene una sección para este CP con 2 capturas que muestran los datos ingresados y el resultado esperado.</t>
  </si>
  <si>
    <t>Objetivo X</t>
  </si>
  <si>
    <t>Press banca · 21 series x 10 rep.</t>
  </si>
  <si>
    <t>HE2_HU1_CA2_CP005</t>
  </si>
  <si>
    <t>Entonces CA2: el sistema rechaza el registro y muestra «Completa el nombre, las series y las repeticiones del ejercicio 1.»</t>
  </si>
  <si>
    <t>[CP adicional] Precondición: sesión de entrenador (10000002), pantalla Rutinas, formulario «Nueva rutina». CP adicional: repeticiones vacías.
Evidencia verificada (27/10/2026): el documento tiene una sección para este CP con 2 capturas que muestran los datos ingresados y el resultado esperado.</t>
  </si>
  <si>
    <t>Press banca · 4 series x (vacío) rep.</t>
  </si>
  <si>
    <t>HE2_HU1_CA3_CP001</t>
  </si>
  <si>
    <t>Core estable</t>
  </si>
  <si>
    <t>Entonces CA3: el sistema rechaza el registro y muestra «La rutina debe tener al menos un ejercicio.»</t>
  </si>
  <si>
    <t>[Verifica CA3] Precondición: sesión de entrenador (10000002), pantalla Rutinas, formulario «Nueva rutina». Se quitan todos los ejercicios con «×». Si la pantalla no deja quitar el último, se prueba por API con "ejercicios": [].
Evidencia verificada (27/10/2026): el documento tiene una sección para este CP con 2 capturas que muestran los datos ingresados y el resultado esperado.</t>
  </si>
  <si>
    <t>Mejorar estabilidad</t>
  </si>
  <si>
    <t>HE2_HU1_CA3_CP002</t>
  </si>
  <si>
    <t>Movilidad</t>
  </si>
  <si>
    <t>[Verifica CA3] Precondición: sesión de entrenador (10000002), pantalla Rutinas, formulario «Nueva rutina». Mismo caso con otros datos.
Evidencia verificada (27/10/2026): el documento tiene una sección para este CP con 2 capturas que muestran los datos ingresados y el resultado esperado. Observación de auditoría: es la misma clase de equivalencia que CA3_CP001 (rutina sin ejercicios con otros datos) y no aporta cobertura nueva; se conserva porque ya tiene evidencia.</t>
  </si>
  <si>
    <t>Mejorar flexibilidad</t>
  </si>
  <si>
    <t>CP ADICIONALES PROPUESTOS POR ANÁLISIS DE RIESGOS · EJECUTADOS EL 27/10/2026 en una copia de pruebas (evidencia en Evidencias_E2-HU1_adicionales.docx; un CP marcado PENDIENTE no se pudo ejecutar)</t>
  </si>
  <si>
    <t>HE2_HU1_CA1_CP004</t>
  </si>
  <si>
    <t>Cardio básico  (ya existe: CA1_CP002)</t>
  </si>
  <si>
    <t>Resultado esperado propuesto (regla pendiente): el sistema impide crear una segunda rutina con el mismo nombre o la distingue claramente en el selector de E2-HU2. Si se confirma que se permiten nombres repetidos, el esperado es «Rutina registrada correctamente.» y el CP pasa a positivo.</t>
  </si>
  <si>
    <t>NOK: Permitió dos rutinas «Cardio básico» (R06). Evidencias_E2-HU1_adicionales.docx › HE2_HU1_CA1_CP004</t>
  </si>
  <si>
    <t>Regla de negocio / integridad · Media</t>
  </si>
  <si>
    <t>[CP adicional – regla pendiente] Riesgo: el selector de E2-HU2 mostraría dos «Cardio básico» idénticos y el entrenador podría asignar la equivocada; la base de datos no exige nombre único. Prioridad de riesgo propuesta: Media.</t>
  </si>
  <si>
    <t>Resistencia nivel 2</t>
  </si>
  <si>
    <t>Burpees · 3 series x 12 rep.</t>
  </si>
  <si>
    <t>HE2_HU1_CA1_CP005</t>
  </si>
  <si>
    <t>API: POST http://localhost:3000/api/rutinas</t>
  </si>
  <si>
    <t>Validación adicional: se crea la rutina, pero su entrenador es «Entrenador Demo» (el de la sesión); el entrenador_id enviado se ignora.</t>
  </si>
  <si>
    <t>Evidencias_E2-HU1_adicionales.docx › HE2_HU1_CA1_CP005</t>
  </si>
  <si>
    <t>[CP adicional] Riesgo de integridad: la autoría debe salir de la sesión, no de lo que envía el navegador; si no, un entrenador podría atribuir rutinas a otro. Prioridad de riesgo propuesta: Media.</t>
  </si>
  <si>
    <t>{"nombre":"Rutina autoría","objetivo":"Probar autoría","entrenador_id":&lt;id de Laura Mora Díaz&gt;,"ejercicios":[{"nombre":"Plancha","series":3,"repeticiones":30}]}</t>
  </si>
  <si>
    <t>HE2_HU1_CA1_CP006</t>
  </si>
  <si>
    <t>Validación adicional: respuesta 403 «No tienes permiso para realizar esta acción.»; la rutina no aparece en «Rutinas registradas».</t>
  </si>
  <si>
    <t>Evidencias_E2-HU1_adicionales.docx › HE2_HU1_CA1_CP006</t>
  </si>
  <si>
    <t>[CP adicional] Riesgo de permisos: el usuario del gimnasio no debe crear rutinas. Prioridad de riesgo propuesta: Alta.</t>
  </si>
  <si>
    <t>{"nombre":"Mi rutina propia","objetivo":"Probar permisos","ejercicios":[{"nombre":"Sentadilla","series":3,"repeticiones":10}]}</t>
  </si>
  <si>
    <t>HE2_HU1_CA2_CP006</t>
  </si>
  <si>
    <t>Rutina límite</t>
  </si>
  <si>
    <t>Validación adicional: rechaza con «El ejercicio 1 no es válido: series entre 1 y 20, repeticiones entre 1 y 200 y nombre de máximo 120 caracteres.»; no se crea la rutina.</t>
  </si>
  <si>
    <t>Evidencias_E2-HU1_adicionales.docx › HE2_HU1_CA2_CP006</t>
  </si>
  <si>
    <t>[CP adicional] Valor límite inferior − 1 (CA2_CP004 solo prueba el superior). Riesgo: un ejercicio de 0 series no tiene sentido en «Mi rutina». Prioridad de riesgo propuesta: Media.</t>
  </si>
  <si>
    <t>Probar límites</t>
  </si>
  <si>
    <t>Press banca · 0 series x 10 rep.</t>
  </si>
  <si>
    <t>HE2_HU1_CA2_CP007</t>
  </si>
  <si>
    <t>Validación adicional: rechaza la rutina (400) y no la crea. Mensaje esperado propuesto: que indique que las repeticiones deben ser un número entero.</t>
  </si>
  <si>
    <t>Evidencias_E2-HU1_adicionales.docx › HE2_HU1_CA2_CP007</t>
  </si>
  <si>
    <t>[CP adicional] Riesgo: 10,5 repeticiones no es ejecutable y la columna es entera; si se redondeara en silencio, el usuario vería otro dato. Nota de análisis: el sistema probablemente responda «Completa el nombre, las series y las repeticiones del ejercicio 1.», que rechaza bien pero describe mal el problema; en ese caso el rechazo es OK y la mejora del mensaje se anota como observación. Prioridad de riesgo propuesta: Baja.</t>
  </si>
  <si>
    <t>{"nombre":"Rutina decimal","objetivo":"Probar decimales","ejercicios":[{"nombre":"Press banca","series":4,"repeticiones":10.5}]}</t>
  </si>
  <si>
    <t>HE2_HU1_CA2_CP008</t>
  </si>
  <si>
    <t>Rutina espacios</t>
  </si>
  <si>
    <t>Validación adicional: rechaza con «Completa el nombre, las series y las repeticiones del ejercicio 1.»</t>
  </si>
  <si>
    <t>Evidencias_E2-HU1_adicionales.docx › HE2_HU1_CA2_CP008</t>
  </si>
  <si>
    <t>[CP adicional] Riesgo: un ejercicio sin nombre visible en «Mi rutina». Prioridad de riesgo propuesta: Media.</t>
  </si>
  <si>
    <t>Probar nombres vacíos</t>
  </si>
  <si>
    <t>(4 espacios) · 4 series x 10 rep.</t>
  </si>
  <si>
    <t>DISEÑO DE CASOS DE PRUEBA (CP) — SAIYAGYM · E2-HU2 Asignar rutina a usuario</t>
  </si>
  <si>
    <t>E2-HU2 — Asignar rutina a usuario</t>
  </si>
  <si>
    <t>CA1 · Asignación exitosa</t>
  </si>
  <si>
    <t>CA2 · Usuario no seleccionado</t>
  </si>
  <si>
    <t>CA3 · Usuario no disponible</t>
  </si>
  <si>
    <t>CA4 · Rutina no seleccionada</t>
  </si>
  <si>
    <t>HE2_HU2_CA1_CP001</t>
  </si>
  <si>
    <t>Camila Pérez</t>
  </si>
  <si>
    <t>Entonces CA1: el sistema asigna la rutina y muestra «La rutina "Fuerza tren superior" fue asignada a Camila Pérez correctamente.»</t>
  </si>
  <si>
    <t>https://docs.google.com/document/d/1lRqV1zrO9mUMZ58Zv8bgMuRSpJwCJOTD/edit?usp=drive_link&amp;ouid=103533695958335943637&amp;rtpof=true&amp;sd=true</t>
  </si>
  <si>
    <t>[Verifica CA1] Precondición: sesión de entrenador, tarjeta «Asignar rutina a un usuario»; existen las rutinas de E2-HU1. 
Evidencia verificada (27/10/2026): el documento tiene una sección para este CP con 2 capturas que muestran los datos ingresados y el resultado esperado.</t>
  </si>
  <si>
    <t>Rutina</t>
  </si>
  <si>
    <t>Clic en «Asignar»</t>
  </si>
  <si>
    <t>HE2_HU2_CA1_CP002</t>
  </si>
  <si>
    <t>Entonces CA1: el sistema asigna la rutina y muestra «La rutina "Cardio básico" fue asignada a Pedro Ruiz correctamente.»</t>
  </si>
  <si>
    <t>[Verifica CA1] Precondición: sesión de entrenador, tarjeta «Asignar rutina a un usuario»; existen las rutinas de E2-HU1. Pedro debe estar Activo (E1-HU4 CA1_CP002).
Evidencia verificada (27/10/2026): el documento tiene una sección para este CP con 2 capturas que muestran los datos ingresados y el resultado esperado.</t>
  </si>
  <si>
    <t>HE2_HU2_CA1_CP003</t>
  </si>
  <si>
    <t>Entonces CA1: el sistema asigna la nueva rutina; la anterior queda como histórico y Camila ve solo «Cardio básico» en Mi rutina.</t>
  </si>
  <si>
    <t>[Verifica CA1] Precondición: sesión de entrenador, tarjeta «Asignar rutina a un usuario»; existen las rutinas de E2-HU1. Reasignación: Camila ya tenía «Fuerza tren superior». Al terminar queda con «Cardio básico».
Evidencia verificada (27/10/2026): el documento tiene una sección para este CP con 2 capturas que muestran los datos ingresados y el resultado esperado. La captura muestra «Asignada a»: Cardio básico 2 y Fuerza tren superior 0, coherente con la reasignación. Que Camila vea solo «Cardio básico» se comprueba en E2-HU4 CA4_CP002.</t>
  </si>
  <si>
    <t>HE2_HU2_CA2_CP001</t>
  </si>
  <si>
    <t>Selecciona un usuario</t>
  </si>
  <si>
    <t>Entonces CA2: el sistema rechaza la asignación y muestra «Selecciona un usuario para asignarle la rutina.»</t>
  </si>
  <si>
    <t>[Verifica CA2] Precondición: sesión de entrenador, tarjeta «Asignar rutina a un usuario»; existen las rutinas de E2-HU1. No se elige usuario.
Evidencia verificada (27/10/2026): el documento tiene una sección para este CP con 2 capturas que muestran los datos ingresados y el resultado esperado.</t>
  </si>
  <si>
    <t>HE2_HU2_CA3_CP001</t>
  </si>
  <si>
    <t>Andrés Gómez (inactivo)</t>
  </si>
  <si>
    <t>Entonces CA3: el sistema rechaza la asignación y muestra «El usuario seleccionado está inactivo y no está disponible para asignarle una rutina.»</t>
  </si>
  <si>
    <t>[Verifica CA3] Precondición: sesión de entrenador, tarjeta «Asignar rutina a un usuario»; existen las rutinas de E2-HU1. Andrés debe estar Inactivo: ejecutar antes de activarlo en E1-HU4 CA1_CP001, o volver a inactivarlo.
Evidencia verificada (27/10/2026): el documento tiene una sección para este CP con 2 capturas que muestran los datos ingresados y el resultado esperado.</t>
  </si>
  <si>
    <t>HE2_HU2_CA4_CP001</t>
  </si>
  <si>
    <t>Entonces CA4: el sistema rechaza la asignación y muestra «Selecciona una rutina para asignar.»</t>
  </si>
  <si>
    <t>[Verifica CA4] Precondición: sesión de entrenador, tarjeta «Asignar rutina a un usuario»; existen las rutinas de E2-HU1. No se elige rutina.
Evidencia verificada (27/10/2026): el documento tiene una sección para este CP con 2 capturas que muestran los datos ingresados y el resultado esperado.</t>
  </si>
  <si>
    <t>Selecciona una rutina</t>
  </si>
  <si>
    <t>HE2_HU2_CA4_CP002</t>
  </si>
  <si>
    <t>Entonces CA4: el sistema rechaza la asignación y muestra el mensaje de usuario no seleccionado (se valida primero el usuario).</t>
  </si>
  <si>
    <t>[CP adicional] Precondición: sesión de entrenador, tarjeta «Asignar rutina a un usuario»; existen las rutinas de E2-HU1. CP adicional: ninguno de los dos seleccionado.
Evidencia verificada (27/10/2026): el documento tiene una sección para este CP con 2 capturas que muestran los datos ingresados y el resultado esperado. Nota: está en CA4, pero el mensaje que verifica es el del CA2 (prioridad de validación del usuario).</t>
  </si>
  <si>
    <t>CP ADICIONALES PROPUESTOS POR ANÁLISIS DE RIESGOS · EJECUTADOS EL 27/10/2026 en una copia de pruebas (evidencia en Evidencias_E2-HU2_adicionales.docx; un CP marcado PENDIENTE no se pudo ejecutar)</t>
  </si>
  <si>
    <t>HE2_HU2_CA1_CP004</t>
  </si>
  <si>
    <t>API: dos POST http://localhost:3000/api/asignaciones enviados a la vez</t>
  </si>
  <si>
    <t>Validación adicional: Pedro queda con UNA sola asignación vigente (la consulta devuelve 1) y la segunda petición recibe una respuesta controlada, no «Ocurrió un error inesperado en el servidor».</t>
  </si>
  <si>
    <t>NOK: 2.ª petición simultánea: HTTP 500 genérico. Evidencias_E2-HU2_adicionales.docx › HE2_HU2_CA1_CP004</t>
  </si>
  <si>
    <t>Manejo de errores (concurrencia) · Baja</t>
  </si>
  <si>
    <t>[CP adicional] Riesgo de concurrencia: la base de datos solo admite una asignación vigente por usuario (índice único). Nota de análisis: si dos asignaciones llegan a la vez, la segunda choca con ese índice y el manejador de errores no lo traduce, así que es probable un error 500; si ocurre, registrar NOK (severidad sugerida: Baja: la integridad se conserva, el mensaje es genérico). Al terminar, reasignar «Cardio básico» a Pedro (lo usa E2-HU4). Prioridad de riesgo propuesta: Media.</t>
  </si>
  <si>
    <t>{"usuario_id":&lt;id de Pedro&gt;,"rutina_id":&lt;id de «Fuerza tren superior - nivel 2»&gt;}</t>
  </si>
  <si>
    <t>Verificación SQL</t>
  </si>
  <si>
    <t>SELECT COUNT(*) FROM asignaciones_rutina WHERE usuario_id=&lt;id de Pedro&gt; AND vigente;</t>
  </si>
  <si>
    <t>HE2_HU2_CA1_CP005</t>
  </si>
  <si>
    <t>Pedro Ruiz (ya tiene «Cardio básico» vigente)</t>
  </si>
  <si>
    <t>Resultado esperado propuesto (regla pendiente): el sistema avisa que Pedro ya tiene esa rutina vigente o, si la reasignación es válida, Pedro conserva una sola asignación vigente y «Asignada a» de Cardio básico no aumenta.</t>
  </si>
  <si>
    <t>NOK: Reasignar la misma rutina crea otro registro de historial (R08). Evidencias_E2-HU2_adicionales.docx › HE2_HU2_CA1_CP005</t>
  </si>
  <si>
    <t>Regla de negocio · Baja</t>
  </si>
  <si>
    <t>[CP adicional – regla pendiente] Riesgo: acción repetida. Con el código actual, repetir la asignación crea otro registro en el historial y cambia la fecha de asignación que ve el usuario aunque la rutina sea la misma. Historial: SELECT * FROM asignaciones_rutina WHERE usuario_id=&lt;id de Pedro&gt;; Prioridad de riesgo propuesta: Baja.</t>
  </si>
  <si>
    <t>HE2_HU2_CA3_CP002</t>
  </si>
  <si>
    <t>API: POST http://localhost:3000/api/asignaciones</t>
  </si>
  <si>
    <t>Resultado esperado propuesto (regla pendiente de confirmar): rechaza la asignación porque las rutinas son para usuarios del gimnasio; Laura no queda con asignación vigente.</t>
  </si>
  <si>
    <t>NOK: Asignó una rutina a un entrenador (R07). Evidencias_E2-HU2_adicionales.docx › HE2_HU2_CA3_CP002</t>
  </si>
  <si>
    <t>[CP adicional – regla pendiente] Riesgo de relación incorrecta: la pantalla solo lista usuarios con rol «usuario», pero el servidor no verifica el rol del destinatario; un entrenador no tiene «Mi rutina», así que la asignación quedaría huérfana y contaría en «Asignada a». Nota de análisis: es probable que hoy se acepte; si ocurre, registrar NOK (severidad sugerida: Media, integridad de datos). Prioridad de riesgo propuesta: Alta.</t>
  </si>
  <si>
    <t>{"usuario_id":&lt;id de Laura Mora Díaz, rol entrenador&gt;,"rutina_id":&lt;id de «Cardio básico»&gt;}</t>
  </si>
  <si>
    <t>HE2_HU2_CA3_CP003</t>
  </si>
  <si>
    <t>Paso 1</t>
  </si>
  <si>
    <t>Entrenador selecciona Pedro Ruiz (Activo) y «Cardio básico», sin pulsar Asignar</t>
  </si>
  <si>
    <t>Entonces CA3 (variante): rechaza con «El usuario seleccionado está inactivo y no está disponible para asignarle una rutina.»; Pedro no recibe una nueva asignación.</t>
  </si>
  <si>
    <t>Evidencias_E2-HU2_adicionales.docx › HE2_HU2_CA3_CP003</t>
  </si>
  <si>
    <t>[CP adicional] Riesgo: el selector muestra el estado del momento en que cargó la página; la verificación debe hacerse al guardar. Al terminar, activar a Pedro. Prioridad de riesgo propuesta: Media.</t>
  </si>
  <si>
    <t>Paso 2</t>
  </si>
  <si>
    <t>En otra sesión, el administrador inactiva a Pedro</t>
  </si>
  <si>
    <t>Paso 3</t>
  </si>
  <si>
    <t>El entrenador pulsa «Asignar»</t>
  </si>
  <si>
    <t>HE2_HU2_CA4_CP003</t>
  </si>
  <si>
    <t>Preparación SQL</t>
  </si>
  <si>
    <t>UPDATE rutinas SET estado='Inactiva' WHERE nombre='Pierna intensiva';</t>
  </si>
  <si>
    <t>Validación adicional: rechaza con «La rutina seleccionada no está disponible.»; Camila conserva su rutina vigente anterior. Al terminar, devolver la rutina a 'Activa'.</t>
  </si>
  <si>
    <t>Evidencias_E2-HU2_adicionales.docx › HE2_HU2_CA4_CP003</t>
  </si>
  <si>
    <t>[CP adicional] Riesgo: asignar una rutina que el usuario no podrá ver (E2-HU4 CA3 la mostraría como «Rutina no disponible»). Prioridad de riesgo propuesta: Media.</t>
  </si>
  <si>
    <t>Clic en «Asignar» (o por API si el selector ya no la muestra)</t>
  </si>
  <si>
    <t>HE2_HU2_CA4_CP004</t>
  </si>
  <si>
    <t>Validación adicional: respuesta 400 con un mensaje claro y bien escrito (p. ej., «La rutina indicada no es válida.»); no se crea asignación.</t>
  </si>
  <si>
    <t>NOK: Mensaje «El rutina indicado…» mal redactado. Evidencias_E2-HU2_adicionales.docx › HE2_HU2_CA4_CP004</t>
  </si>
  <si>
    <t>Mensaje / redacción · Baja</t>
  </si>
  <si>
    <t>[CP adicional] Riesgo: datos manipulados desde el navegador. Nota de análisis: el código arma el mensaje como «El rutina indicado no es válido.» (error de concordancia); si aparece así, el rechazo es correcto pero el texto es un defecto menor (severidad sugerida: Baja). Prioridad de riesgo propuesta: Baja.</t>
  </si>
  <si>
    <t>{"usuario_id":&lt;id de Camila&gt;,"rutina_id":"abc"}</t>
  </si>
  <si>
    <t>DISEÑO DE CASOS DE PRUEBA (CP) — SAIYAGYM · E2-HU3 Modificar rutina de entrenamiento</t>
  </si>
  <si>
    <t>E2-HU3 — Modificar rutina de entrenamiento</t>
  </si>
  <si>
    <t>CA1 · Modificación exitosa</t>
  </si>
  <si>
    <t>CA2 · Rutina no encontrada</t>
  </si>
  <si>
    <t>CA3 · Datos obligatorios eliminados</t>
  </si>
  <si>
    <t>HE2_HU3_CA1_CP001</t>
  </si>
  <si>
    <t>Fuerza tren superior - nivel 2</t>
  </si>
  <si>
    <t>Entonces CA1: el sistema guarda los cambios y muestra «Rutina modificada correctamente.»</t>
  </si>
  <si>
    <t>https://docs.google.com/document/d/12UGBbx7oETFpF6f8n3GpEMTCk2YpFju2/edit?usp=drive_link&amp;ouid=103533695958335943637&amp;rtpof=true&amp;sd=true</t>
  </si>
  <si>
    <t>[Verifica CA1] Precondición: sesión de entrenador, lista «Rutinas registradas»; clic en «Editar». Rutina «Fuerza tren superior»: cambia solo el nombre.
Evidencia verificada (27/10/2026): el documento tiene una sección para este CP con 2 capturas que muestran los datos ingresados y el resultado esperado.</t>
  </si>
  <si>
    <t>HE2_HU3_CA1_CP002</t>
  </si>
  <si>
    <t>[Verifica CA1] Precondición: sesión de entrenador, lista «Rutinas registradas»; clic en «Editar». Se agrega un tercer ejercicio con «+ Agregar ejercicio». Lo usa E2-HU4 CA4.
Evidencia verificada (27/10/2026): el documento tiene una sección para este CP con 2 capturas que muestran los datos ingresados y el resultado esperado.</t>
  </si>
  <si>
    <t>Ejercicio 3</t>
  </si>
  <si>
    <t>Fondos en paralelas · 3 series x 12 rep.</t>
  </si>
  <si>
    <t>HE2_HU3_CA1_CP003</t>
  </si>
  <si>
    <t>[Verifica CA1] Precondición: sesión de entrenador, lista «Rutinas registradas»; clic en «Editar». Se cambian series y repeticiones del primer ejercicio.
Evidencia verificada (27/10/2026): el documento tiene una sección para este CP con 2 capturas que muestran los datos ingresados y el resultado esperado.</t>
  </si>
  <si>
    <t>Press banca · 5 series x 8 rep.</t>
  </si>
  <si>
    <t>HE2_HU3_CA2_CP001</t>
  </si>
  <si>
    <t>Rutina temporal</t>
  </si>
  <si>
    <t>Entonces CA2: el sistema rechaza la modificación y muestra «La rutina no fue encontrada.»</t>
  </si>
  <si>
    <t>[Verifica CA2] Precondición: sesión de entrenador. Rutina «Rutina temporal»: se crea, se pulsa «Modificar» y, sin cerrar el formulario, se borra de la base de datos con SQL. Luego se pulsa «Guardar cambios» (pasos en el documento Pasos_E2-HU3).
Evidencia verificada (27/10/2026): el documento tiene una sección para este CP con 2 capturas que muestran los datos ingresados y el resultado esperado. Observación menor: después del rechazo, el panel «Detalle de la rutina» sigue mostrando «Rutina temporal», que ya no existe.</t>
  </si>
  <si>
    <t>Objetivo temporal</t>
  </si>
  <si>
    <t>HE2_HU3_CA3_CP001</t>
  </si>
  <si>
    <t>Entonces CA3: el sistema rechaza la actualización y muestra «Faltan datos obligatorios de la rutina: Nombre de la rutina.»</t>
  </si>
  <si>
    <t>[Verifica CA3] Precondición: sesión de entrenador, lista «Rutinas registradas»; clic en «Editar». Se borra el nombre.
Evidencia verificada (27/10/2026): el documento tiene una sección para este CP con 2 capturas que muestran los datos ingresados y el resultado esperado. Observación de auditoría: los valores registrados (1 ejercicio, Press banca 4x10) no coinciden con el estado de la rutina tras CA1_CP003 (3 ejercicios, Press banca 5x8). La captura muestra esos mismos valores, así que el rechazo es válido, pero el CP no aísla una sola variable. En una reejecución, partir de la rutina tal como quedó y cambiar solo el campo bajo prueba.</t>
  </si>
  <si>
    <t>HE2_HU3_CA3_CP002</t>
  </si>
  <si>
    <t>Entonces CA3: el sistema rechaza la actualización y muestra «Faltan datos obligatorios de la rutina: Objetivo.»</t>
  </si>
  <si>
    <t>[Verifica CA3] Precondición: sesión de entrenador, lista «Rutinas registradas»; clic en «Editar». Se borra el objetivo.
Evidencia verificada (27/10/2026): el documento tiene una sección para este CP con 2 capturas que muestran los datos ingresados y el resultado esperado. Observación de auditoría: los valores registrados (1 ejercicio, Press banca 4x10) no coinciden con el estado de la rutina tras CA1_CP003 (3 ejercicios, Press banca 5x8). La captura muestra esos mismos valores, así que el rechazo es válido, pero el CP no aísla una sola variable. En una reejecución, partir de la rutina tal como quedó y cambiar solo el campo bajo prueba.</t>
  </si>
  <si>
    <t>HE2_HU3_CA3_CP003</t>
  </si>
  <si>
    <t>Entonces CA3: el sistema rechaza la actualización y muestra «La rutina debe tener al menos un ejercicio.»</t>
  </si>
  <si>
    <t>[Verifica CA3] Precondición: sesión de entrenador, lista «Rutinas registradas»; clic en «Editar». Se quitan todos los ejercicios (si la pantalla no lo permite, se prueba por API).
Evidencia verificada (27/10/2026): el documento tiene una sección para este CP con 2 capturas que muestran los datos ingresados y el resultado esperado. Observación de auditoría: los valores registrados (sin ejercicios, a partir de una rutina de 1 ejercicio) no coinciden con el estado de la rutina tras CA1_CP003 (3 ejercicios, Press banca 5x8). La captura muestra esos mismos valores, así que el rechazo es válido, pero el CP no aísla una sola variable. En una reejecución, partir de la rutina tal como quedó y cambiar solo el campo bajo prueba.</t>
  </si>
  <si>
    <t>CP ADICIONALES PROPUESTOS POR ANÁLISIS DE RIESGOS · EJECUTADOS EL 27/10/2026 en una copia de pruebas (evidencia en Evidencias_E2-HU3_adicionales.docx; un CP marcado PENDIENTE no se pudo ejecutar)</t>
  </si>
  <si>
    <t>HE2_HU3_CA1_CP004</t>
  </si>
  <si>
    <t>«Fuerza tren superior - nivel 2», vigente para Camila (E2-HU4 CA1_CP001)</t>
  </si>
  <si>
    <t>Validación adicional: «Rutina modificada correctamente.»; Camila ve 4 series en «Fondos en paralelas» y su fecha de asignación no cambia.</t>
  </si>
  <si>
    <t>Evidencias_E2-HU3_adicionales.docx › HE2_HU3_CA1_CP004</t>
  </si>
  <si>
    <t>[CP adicional] Riesgo de integridad entre HU: la modificación debe llegar a quien ya tiene la rutina, sin crear otra asignación. Regla pendiente: si se quisiera conservar la versión anterior para quienes ya la tenían, el esperado cambia. Prioridad de riesgo propuesta: Media.</t>
  </si>
  <si>
    <t>Cambio</t>
  </si>
  <si>
    <t>Ejercicio 3 Fondos en paralelas: 3 → 4 series (12 rep.)</t>
  </si>
  <si>
    <t>Camila → «Mi rutina»</t>
  </si>
  <si>
    <t>HE2_HU3_CA1_CP005</t>
  </si>
  <si>
    <t>Sesión</t>
  </si>
  <si>
    <t>Laura Mora Díaz (55550002 / Entren2026), rol entrenador, Activa</t>
  </si>
  <si>
    <t>Resultado esperado propuesto (regla pendiente): si cada entrenador solo modifica sus rutinas, el sistema rechaza con «No tienes permiso para realizar esta acción.». Si se confirma que cualquier entrenador puede modificar, el cambio se guarda y la rutina sigue mostrando «Entrenador: Entrenador Demo».</t>
  </si>
  <si>
    <t>NOK: Un entrenador modificó una rutina ajena (R09). Evidencias_E2-HU3_adicionales.docx › HE2_HU3_CA1_CP005</t>
  </si>
  <si>
    <t>Seguridad (autorización) · Media</t>
  </si>
  <si>
    <t>[CP adicional – regla pendiente] Riesgo de permisos entre entrenadores: el código documenta que «cualquier entrenador del gimnasio puede ajustar una rutina»; hay que confirmar si eso pide la HU. Precondición: Laura activa (E1-HU4 CA2_CP002 la reactiva). Prioridad de riesgo propuesta: Media.</t>
  </si>
  <si>
    <t>Pierna intensiva (creada por Entrenador Demo)</t>
  </si>
  <si>
    <t>Objetivo → «Objetivo cambiado por otra entrenadora»</t>
  </si>
  <si>
    <t>HE2_HU3_CA2_CP002</t>
  </si>
  <si>
    <t>API: PUT http://localhost:3000/api/rutinas/999999</t>
  </si>
  <si>
    <t>Entonces CA2 (variante): respuesta 404 «La rutina no fue encontrada.»; no se crea una rutina «Fantasma».</t>
  </si>
  <si>
    <t>Evidencias_E2-HU3_adicionales.docx › HE2_HU3_CA2_CP002</t>
  </si>
  <si>
    <t>[CP adicional] Variante reproducible del CA2 sin borrar datos con SQL. Riesgo: que modificar un id inexistente termine creando un registro. Prioridad de riesgo propuesta: Baja.</t>
  </si>
  <si>
    <t>{"nombre":"Fantasma","objetivo":"No existe","ejercicios":[{"nombre":"Plancha","series":3,"repeticiones":30}]}</t>
  </si>
  <si>
    <t>HE2_HU3_CA3_CP004</t>
  </si>
  <si>
    <t>«Fuerza tren superior - nivel 2» con sus 3 ejercicios guardados</t>
  </si>
  <si>
    <t>Validación adicional: rechaza con «El ejercicio 2 no es válido: series entre 1 y 20, repeticiones entre 1 y 200 y nombre de máximo 120 caracteres.»; al pulsar «Ver», la rutina conserva sus 3 ejercicios con los valores anteriores.</t>
  </si>
  <si>
    <t>Evidencias_E2-HU3_adicionales.docx › HE2_HU3_CA3_CP004</t>
  </si>
  <si>
    <t>[CP adicional] Riesgo de integridad: al modificar, el sistema reemplaza toda la lista de ejercicios; si fallara después de borrar los anteriores, la rutina quedaría vacía o incompleta. Prioridad de riesgo propuesta: Alta.</t>
  </si>
  <si>
    <t>Ejercicio 2 Remo con barra · 4 series x 201 rep.</t>
  </si>
  <si>
    <t>Guardar cambios; luego «Ver»</t>
  </si>
  <si>
    <t>DISEÑO DE CASOS DE PRUEBA (CP) — SAIYAGYM · E2-HU4 Consultar rutina asignada</t>
  </si>
  <si>
    <t>Rol que ejecuta: Usuario del gimnasio. Celdas amarillas = para completar al ejecutar. Alcance y estadísticas se calculan solos.</t>
  </si>
  <si>
    <t>E2-HU4 — Consultar rutina asignada</t>
  </si>
  <si>
    <t>CA1 · Rutina encontrada</t>
  </si>
  <si>
    <t>CA2 · Sin rutina asignada</t>
  </si>
  <si>
    <t>CA3 · Rutina no disponible</t>
  </si>
  <si>
    <t>CA4 · Consulta exitosa</t>
  </si>
  <si>
    <t>HE2_HU4_CA1_CP001</t>
  </si>
  <si>
    <t>Entonces CA1: el sistema muestra «TU RUTINA ACTUAL» con el nombre de la rutina, la fecha de asignación, el objetivo, el entrenador y la tabla de ejercicios.</t>
  </si>
  <si>
    <t>https://docs.google.com/document/d/1ATvnsXWQaRYnv9AjN803vzqrII0OWsbj/edit?usp=drive_link&amp;ouid=103533695958335943637&amp;rtpof=true&amp;sd=true</t>
  </si>
  <si>
    <t>[Verifica CA1] Precondición: sesión del usuario, pantalla «Mi rutina». Camila Pérez. Antes, como entrenador, asígnale «Fuerza tren superior - nivel 2» (así se llama esa rutina después de E2-HU3).
Evidencia NO verificada: el documento de evidencias de E2-HU4 responde «acceso restringido» (HTTP 401) a quien no tiene permiso. El resultado OK se conserva tal como lo registró quien ejecutó, pero hay que compartir el documento como «Cualquier persona con el enlace – Lector» para que se pueda revisar.</t>
  </si>
  <si>
    <t>Saiya2026</t>
  </si>
  <si>
    <t>Pantalla</t>
  </si>
  <si>
    <t>Mi rutina</t>
  </si>
  <si>
    <t>Situación</t>
  </si>
  <si>
    <t>Camila con «Fuerza tren superior - nivel 2» asignada</t>
  </si>
  <si>
    <t>HE2_HU4_CA1_CP002</t>
  </si>
  <si>
    <t>Entonces CA1: el sistema muestra «TU RUTINA ACTUAL» con la rutina «Cardio básico» y su ejercicio.</t>
  </si>
  <si>
    <t>[Verifica CA1] Precondición: sesión del usuario, pantalla «Mi rutina». Pedro Ruiz (contraseña cambiada en E1-HU2 CA1_CP003), rutina asignada en E2-HU2 CA1_CP002.
Evidencia NO verificada: el documento de evidencias de E2-HU4 responde «acceso restringido» (HTTP 401) a quien no tiene permiso. El resultado OK se conserva tal como lo registró quien ejecutó, pero hay que compartir el documento como «Cualquier persona con el enlace – Lector» para que se pueda revisar.</t>
  </si>
  <si>
    <t>Pedro con «Cardio básico» asignada</t>
  </si>
  <si>
    <t>HE2_HU4_CA2_CP001</t>
  </si>
  <si>
    <t>Entonces CA2: el sistema muestra el aviso «Sin rutina asignada» con el texto «El usuario no tiene una rutina asignada.»</t>
  </si>
  <si>
    <t>[Verifica CA2] Precondición: sesión del usuario, pantalla «Mi rutina». Luis Gómez fue registrado en E1-HU1 CA1_CP004 y nunca se le asignó rutina.
Evidencia NO verificada: el documento de evidencias de E2-HU4 responde «acceso restringido» (HTTP 401) a quien no tiene permiso. El resultado OK se conserva tal como lo registró quien ejecutó, pero hay que compartir el documento como «Cualquier persona con el enlace – Lector» para que se pueda revisar.</t>
  </si>
  <si>
    <t>Luis Gómez sin ninguna asignación</t>
  </si>
  <si>
    <t>HE2_HU4_CA3_CP001</t>
  </si>
  <si>
    <t>Entonces CA3: el sistema muestra el aviso «Rutina no disponible» con el texto «La rutina asignada no está disponible.»</t>
  </si>
  <si>
    <t>[Verifica CA3] Precondición: sesión del usuario, pantalla «Mi rutina». No hay pantalla para inactivar rutinas: se hace por base de datos (UPDATE rutinas SET estado='Inactiva' WHERE nombre='Cardio básico';) y luego se devuelve a 'Activa'.
Evidencia NO verificada: el documento de evidencias de E2-HU4 responde «acceso restringido» (HTTP 401) a quien no tiene permiso. El resultado OK se conserva tal como lo registró quien ejecutó, pero hay que compartir el documento como «Cualquier persona con el enlace – Lector» para que se pueda revisar.</t>
  </si>
  <si>
    <t>Rutina de Pedro marcada como Inactiva</t>
  </si>
  <si>
    <t>HE2_HU4_CA4_CP001</t>
  </si>
  <si>
    <t>Entonces CA4: el sistema muestra la rutina completa: nombre, objetivo, entrenador y los 3 ejercicios con sus series y repeticiones.</t>
  </si>
  <si>
    <t>[Verifica CA4] Precondición: sesión del usuario, pantalla «Mi rutina». Rutina vigente correctamente asignada (Camila debe tener «Fuerza tren superior - nivel 2»).
Evidencia NO verificada: el documento de evidencias de E2-HU4 responde «acceso restringido» (HTTP 401) a quien no tiene permiso. El resultado OK se conserva tal como lo registró quien ejecutó, pero hay que compartir el documento como «Cualquier persona con el enlace – Lector» para que se pueda revisar.</t>
  </si>
  <si>
    <t>Camila con la rutina de 3 ejercicios (tras E2-HU3 CA1_CP002)</t>
  </si>
  <si>
    <t>HE2_HU4_CA4_CP002</t>
  </si>
  <si>
    <t>Entonces CA4: el sistema muestra solo la rutina vigente («Cardio básico»), no la anterior.</t>
  </si>
  <si>
    <t>[Verifica CA4] Precondición: sesión del usuario, pantalla «Mi rutina». Antes, como entrenador, asígnale «Cardio básico» a Camila. Ejecútalo al final de E2-HU4.
Evidencia NO verificada: el documento de evidencias de E2-HU4 responde «acceso restringido» (HTTP 401) a quien no tiene permiso. El resultado OK se conserva tal como lo registró quien ejecutó, pero hay que compartir el documento como «Cualquier persona con el enlace – Lector» para que se pueda revisar.</t>
  </si>
  <si>
    <t>Camila reasignada a «Cardio básico»</t>
  </si>
  <si>
    <t>CP ADICIONALES PROPUESTOS POR ANÁLISIS DE RIESGOS · EJECUTADOS EL 27/10/2026 en una copia de pruebas (evidencia en Evidencias_E2-HU4_adicionales.docx; un CP marcado PENDIENTE no se pudo ejecutar)</t>
  </si>
  <si>
    <t>HE2_HU4_CA1_CP003</t>
  </si>
  <si>
    <t>Luis Gómez (A123 / Clave123), sin rutina asignada</t>
  </si>
  <si>
    <t>Validación adicional: la respuesta corresponde a Luis («El usuario no tiene una rutina asignada.»); nunca muestra «Cardio básico» de Pedro.</t>
  </si>
  <si>
    <t>Evidencias_E2-HU4_adicionales.docx › HE2_HU4_CA1_CP003</t>
  </si>
  <si>
    <t>[CP adicional] Riesgo de privacidad: acceder a la rutina de otro usuario cambiando un identificador. Ejecutar antes de HE2_HU4_CA1_CP004, que le asigna rutina a Luis. Prioridad de riesgo propuesta: Alta.</t>
  </si>
  <si>
    <t>API: GET http://localhost:3000/api/mi-rutina?usuario_id=&lt;id de Pedro&gt;</t>
  </si>
  <si>
    <t>Pedro tiene «Cardio básico» vigente</t>
  </si>
  <si>
    <t>HE2_HU4_CA1_CP004</t>
  </si>
  <si>
    <t>Hora de la asignación</t>
  </si>
  <si>
    <t>Entre 19:00 y 23:59, hora de Colombia (UTC−5); anotar la hora exacta</t>
  </si>
  <si>
    <t>Validación adicional: «Asignada el» muestra la fecha de Colombia del día en que se asignó; nunca la del día siguiente (fecha futura).</t>
  </si>
  <si>
    <t>PENDIENTE: ejecutar entre 19:00 y 23:59 (hora Colombia). Pasos en Evidencias_E2-HU4_adicionales.docx › HE2_HU4_CA1_CP004</t>
  </si>
  <si>
    <t>[CP adicional] Riesgo de fecha incoherente: la fecha se toma con CURRENT_DATE en el servidor de base de datos; si este usa UTC, desde las 19:00 de Colombia ya es el día siguiente y el usuario vería una fecha futura. Ejecutar después de CA2_CP001 (Luis sin rutina). Prioridad de riesgo propuesta: Media.</t>
  </si>
  <si>
    <t>Usuario / Rutina</t>
  </si>
  <si>
    <t>Luis Gómez / Cardio básico</t>
  </si>
  <si>
    <t>Luis → «Mi rutina» → texto «Asignada el …»; en PostgreSQL: SHOW timezone;</t>
  </si>
  <si>
    <t>HE2_HU4_CA1_CP005</t>
  </si>
  <si>
    <t>Sesión de Camila Pérez (10000003 / Saiya2026) en «Mi rutina»</t>
  </si>
  <si>
    <t>Validación adicional: muestra «Tu sesión no es válida o expiró. Inicia sesión de nuevo.» y pide iniciar sesión; no muestra ninguna rutina.</t>
  </si>
  <si>
    <t>NOK: Texto distinto al esperado; no muestra la rutina. Evidencias_E2-HU4_adicionales.docx › HE2_HU4_CA1_CP005</t>
  </si>
  <si>
    <t>Mensaje / interfaz · Baja</t>
  </si>
  <si>
    <t>[CP adicional] Riesgo de seguridad: un token alterado o vencido no debe dar acceso a la rutina. Prioridad de riesgo propuesta: Media.</t>
  </si>
  <si>
    <t>DevTools &gt; Application &gt; Session Storage: cambiar un carácter del valor «saiyagym.token» y recargar</t>
  </si>
  <si>
    <t>DISEÑO DE CASOS DE PRUEBA (CP) — SAIYAGYM</t>
  </si>
  <si>
    <t>Plantilla en blanco para las historias de los siguientes sprints. Copia esta hoja (clic derecho &gt; Mover o copiar).</t>
  </si>
  <si>
    <t>CA1</t>
  </si>
  <si>
    <t>CA2</t>
  </si>
  <si>
    <t>CA3</t>
  </si>
  <si>
    <t>REVISIÓN DE ASEGURAMIENTO DE CALIDAD — SAIYAGYM · Sprints 1 y 2 · 27/10/2026</t>
  </si>
  <si>
    <t>Método: auditoría de las 11 hojas, lectura del código fuente del proyecto (backend, frontend y base de datos) para fundamentar los riesgos, y revisión visual de cada captura de los documentos de evidencia enlazados. Ningún resultado se marcó como ejecutado sin evidencia.</t>
  </si>
  <si>
    <t>1. HALLAZGOS DE LA AUDITORÍA DEL LIBRO</t>
  </si>
  <si>
    <t>ID</t>
  </si>
  <si>
    <t>Hoja / celda</t>
  </si>
  <si>
    <t>Hallazgo</t>
  </si>
  <si>
    <t>Acción tomada</t>
  </si>
  <si>
    <t>H01</t>
  </si>
  <si>
    <t>Guía!B27</t>
  </si>
  <si>
    <t>Decía que los CP no estaban ejecutados, pero los 68 CP originales tienen resultado OK y enlace de evidencia.</t>
  </si>
  <si>
    <t>Texto corregido: distingue los CP originales (ejecutados) de los adicionales (pendientes).</t>
  </si>
  <si>
    <t>H02</t>
  </si>
  <si>
    <t>Todas las HU · F9:F10</t>
  </si>
  <si>
    <t>% OK y % NOK devolvían 0 % cuando no había CP ejecutados, lo que se puede leer como «0 % aprobado».</t>
  </si>
  <si>
    <t>Ahora muestran «Sin ejecutados».</t>
  </si>
  <si>
    <t>H03</t>
  </si>
  <si>
    <t>Todas las HU · F14:F16</t>
  </si>
  <si>
    <t>Los errores por nivel contaban cualquier nivel escrito, aunque el CP no fuera NOK.</t>
  </si>
  <si>
    <t>COUNTIFS: solo cuenta CP NOK con ese nivel.</t>
  </si>
  <si>
    <t>H04</t>
  </si>
  <si>
    <t>Todas las HU · F5</t>
  </si>
  <si>
    <t>COUNTA contaba cualquier texto en la columna ID_CP (un título o separador inflaría el total).</t>
  </si>
  <si>
    <t>COUNTIF con el patrón HE?_HU?_CA?_CP???.</t>
  </si>
  <si>
    <t>H05</t>
  </si>
  <si>
    <t>Todas las HU</t>
  </si>
  <si>
    <t>Rangos de fórmulas, listas desplegables y formato condicional terminaban en la última fila original.</t>
  </si>
  <si>
    <t>Ampliados hasta el último CP adicional de cada hoja.</t>
  </si>
  <si>
    <t>H06</t>
  </si>
  <si>
    <t>No tenía porcentajes, defectos por nivel, control de evidencias ni verificación (+)+(−)=diseñados. Las cifras de las 8 historias sí coincidían con sus hojas.</t>
  </si>
  <si>
    <t>Se agregaron dos tablas con fórmulas y la definición de cada indicador; la tabla original no se modificó.</t>
  </si>
  <si>
    <t>H07</t>
  </si>
  <si>
    <t>Todas las HU · ID_CP</t>
  </si>
  <si>
    <t>IDs únicos y bien construidos. Algunos CP adicionales están en un CA de otro tema (E1-HU1 CA2_CP007–009, E1-HU2 CA3_CP004–005, E1-HU4 CA3_CP002, E2-HU2 CA4_CP002).</t>
  </si>
  <si>
    <t>Se conservan los IDs (los usan las evidencias) y se etiquetan [CP adicional] en Observación.</t>
  </si>
  <si>
    <t>H08</t>
  </si>
  <si>
    <t>E1-HU1 CA1_CP002 y CP003</t>
  </si>
  <si>
    <t>El resultado esperado decía «Usuario registrado correctamente.», pero la evidencia muestra «Entrenador…» y «Administrador registrado correctamente.».</t>
  </si>
  <si>
    <t>Resultado esperado ajustado al mensaje real; queda como regla por confirmar (R12).</t>
  </si>
  <si>
    <t>H09</t>
  </si>
  <si>
    <t>E1-HU4 CA3_CP002</t>
  </si>
  <si>
    <t>Evidencia parcial: una captura sin el texto emergente que el resultado esperado menciona.</t>
  </si>
  <si>
    <t>Indicado en Observación qué captura falta.</t>
  </si>
  <si>
    <t>H10</t>
  </si>
  <si>
    <t>E2-HU3 CA3_CP001–003</t>
  </si>
  <si>
    <t>Los datos de prueba no corresponden al estado de la rutina después de CA1_CP003 (no aíslan una sola variable).</t>
  </si>
  <si>
    <t>Anotado en Observación con la forma correcta de reejecutarlos.</t>
  </si>
  <si>
    <t>H11</t>
  </si>
  <si>
    <t>E2-HU1 CA3_CP002</t>
  </si>
  <si>
    <t>Redundante: misma clase de equivalencia que CA3_CP001.</t>
  </si>
  <si>
    <t>Se conserva (tiene evidencia) y se anota que no suma cobertura.</t>
  </si>
  <si>
    <t>H12</t>
  </si>
  <si>
    <t>E2-HU4 (6 CP)</t>
  </si>
  <si>
    <t>El documento de evidencias no es público (HTTP 401); no se pudo verificar.</t>
  </si>
  <si>
    <t>Se conserva el OK registrado y se indica en cada CP que la evidencia no fue verificada.</t>
  </si>
  <si>
    <t>H13</t>
  </si>
  <si>
    <t>Columna Evidencia</t>
  </si>
  <si>
    <t>Todos los CP de una historia enlazan al mismo documento. Se comprobó que cada documento tiene un índice y una sección por ID_CP con sus propias capturas, así que no es un enlace duplicado indebido.</t>
  </si>
  <si>
    <t>Recomendación: enlazar cada CP al encabezado de su sección (Docs &gt; clic derecho en el título &gt; Obtener vínculo) para abrir directamente su evidencia.</t>
  </si>
  <si>
    <t>H14</t>
  </si>
  <si>
    <t>Todas las HU · B8:B9</t>
  </si>
  <si>
    <t>«No. SP» e «Iteración» están vacíos (Guía punto 1 lo deja pendiente).</t>
  </si>
  <si>
    <t>Sin cambios: depende de la respuesta de la profesora.</t>
  </si>
  <si>
    <t>H15</t>
  </si>
  <si>
    <t>Evidencia E1-HU3 CA3</t>
  </si>
  <si>
    <t>Tras la búsqueda vacía la pantalla muestra «0 usuarios» y «No encontramos coincidencias».</t>
  </si>
  <si>
    <t>Nuevo CP HE1_HU3_CA3_CP003 para confirmarlo.</t>
  </si>
  <si>
    <t>H16</t>
  </si>
  <si>
    <t>Evidencia E2-HU3 CA2_CP001</t>
  </si>
  <si>
    <t>El panel «Detalle de la rutina» sigue mostrando una rutina que ya no existe.</t>
  </si>
  <si>
    <t>Anotado como observación menor; no se registra como defecto porque el CP evalúa otro criterio.</t>
  </si>
  <si>
    <t>2. VERIFICACIÓN DE LOS DOCUMENTOS DE EVIDENCIA (Google Drive)</t>
  </si>
  <si>
    <t>Acceso</t>
  </si>
  <si>
    <t>Resultado de la verificación</t>
  </si>
  <si>
    <t>Pendiente</t>
  </si>
  <si>
    <t>Público</t>
  </si>
  <si>
    <t>Documento con índice y una sección por cada uno de sus 16 CP (32 capturas). Se revisó cada captura de resultado: datos y mensajes coinciden con el CP salvo lo anotado en Observación.</t>
  </si>
  <si>
    <t>Capturas de los CP adicionales (ver columna Evidencia).</t>
  </si>
  <si>
    <t>Documento con índice y una sección por cada uno de sus 9 CP (18 capturas). Se revisó cada captura de resultado: datos y mensajes coinciden con el CP salvo lo anotado en Observación.</t>
  </si>
  <si>
    <t>Documento con índice y una sección por cada uno de sus 7 CP (14 capturas). Se revisó cada captura de resultado: datos y mensajes coinciden con el CP salvo lo anotado en Observación.</t>
  </si>
  <si>
    <t>Documento con índice y una sección por cada uno de sus 6 CP (11 capturas). Se revisó cada captura de resultado: datos y mensajes coinciden con el CP salvo lo anotado en Observación.</t>
  </si>
  <si>
    <t>Documento con índice y una sección por cada uno de sus 10 CP (20 capturas). Se revisó cada captura de resultado: datos y mensajes coinciden con el CP salvo lo anotado en Observación.</t>
  </si>
  <si>
    <t>Restringido (401)</t>
  </si>
  <si>
    <t>No se pudo abrir: no se afirma nada sobre su contenido.</t>
  </si>
  <si>
    <t>Compartir como «Cualquier persona con el enlace – Lector» y revisar los 6 CP.</t>
  </si>
  <si>
    <t>3. REGLAS DE NEGOCIO PENDIENTES DE CONFIRMAR</t>
  </si>
  <si>
    <t>CP relacionados</t>
  </si>
  <si>
    <t>Pregunta</t>
  </si>
  <si>
    <t>Por qué importa</t>
  </si>
  <si>
    <t>R01</t>
  </si>
  <si>
    <t>¿El correo electrónico debe ser único entre usuarios?</t>
  </si>
  <si>
    <t>Hoy solo el documento es único.</t>
  </si>
  <si>
    <t>R02</t>
  </si>
  <si>
    <t>¿Qué caracteres se permiten en el nombre?</t>
  </si>
  <si>
    <t>Sin regla se acepta código HTML; el CP verifica al menos que no se ejecute.</t>
  </si>
  <si>
    <t>R03</t>
  </si>
  <si>
    <t>¿El teléfono debe tener al menos 7 dígitos reales?</t>
  </si>
  <si>
    <t>El mensaje del sistema lo sugiere, pero el patrón acepta solo guiones.</t>
  </si>
  <si>
    <t>R04</t>
  </si>
  <si>
    <t>¿La búsqueda debe ignorar las tildes?</t>
  </si>
  <si>
    <t>«perez» podría no encontrar a «Pérez».</t>
  </si>
  <si>
    <t>R05</t>
  </si>
  <si>
    <t>¿Al inactivar un usuario se conserva su rutina asignada?</t>
  </si>
  <si>
    <t>Define el resultado esperado al reactivarlo.</t>
  </si>
  <si>
    <t>R06</t>
  </si>
  <si>
    <t>¿Se permiten rutinas con el mismo nombre?</t>
  </si>
  <si>
    <t>El selector de asignación no las distinguiría.</t>
  </si>
  <si>
    <t>R07</t>
  </si>
  <si>
    <t>¿Solo los usuarios con rol «usuario» pueden recibir rutinas?</t>
  </si>
  <si>
    <t>El servidor no valida el rol del destinatario.</t>
  </si>
  <si>
    <t>R08</t>
  </si>
  <si>
    <t>¿Qué debe pasar al reasignar la misma rutina vigente?</t>
  </si>
  <si>
    <t>Hoy cambiaría la fecha de asignación y crecería el historial.</t>
  </si>
  <si>
    <t>R09</t>
  </si>
  <si>
    <t>¿Cualquier entrenador puede modificar rutinas de otro?</t>
  </si>
  <si>
    <t>El código lo permite a propósito; la HU no lo dice.</t>
  </si>
  <si>
    <t>R10</t>
  </si>
  <si>
    <t>¿Modificar una rutina afecta a quienes ya la tienen asignada?</t>
  </si>
  <si>
    <t>No hay versiones de rutina.</t>
  </si>
  <si>
    <t>R11</t>
  </si>
  <si>
    <t>¿En qué zona horaria se registra la fecha de asignación?</t>
  </si>
  <si>
    <t>Con el servidor en UTC, de noche aparecería la fecha de mañana.</t>
  </si>
  <si>
    <t>R12</t>
  </si>
  <si>
    <t>HE1_HU1_CA1_CP002–003</t>
  </si>
  <si>
    <t>¿El mensaje de registro debe ser exactamente «Usuario registrado correctamente.» para todos los roles?</t>
  </si>
  <si>
    <t>Si es obligatorio, esos CP pasarían a NOK (Baja).</t>
  </si>
  <si>
    <t>R13</t>
  </si>
  <si>
    <t>La contraseña admite 72 caracteres, pero bcrypt usa 72 bytes: ¿se aceptan tildes y «ñ»?</t>
  </si>
  <si>
    <t>Una contraseña con tildes podría truncarse.</t>
  </si>
  <si>
    <t>R14</t>
  </si>
  <si>
    <t>Guía punto 3</t>
  </si>
  <si>
    <t>¿El mínimo «2 positivos y 1 negativo» es por historia o por criterio?</t>
  </si>
  <si>
    <t>Por criterio, faltarían positivos en criterios solo negativos.</t>
  </si>
  <si>
    <t>4. ESCENARIOS EVALUADOS Y DESCARTADOS (no aplican a SAIYAGYM)</t>
  </si>
  <si>
    <t>Escenario</t>
  </si>
  <si>
    <t>Motivo</t>
  </si>
  <si>
    <t>Qué hacer</t>
  </si>
  <si>
    <t>Fecha de nacimiento imposible, futura o edad absurda</t>
  </si>
  <si>
    <t>E1-HU1/HU2</t>
  </si>
  <si>
    <t>El formulario de usuario no tiene fecha de nacimiento ni edad (campos: nombre, documento, teléfono, correo, rol, contraseña). Probarlo sería inventar un requisito.</t>
  </si>
  <si>
    <t>Si un sprint futuro agrega la fecha, diseñar esos CP (fecha futura, 29/02 en año no bisiesto, edad mínima confirmada).</t>
  </si>
  <si>
    <t>Fechas de inicio y fin de rutina, duración</t>
  </si>
  <si>
    <t>E2</t>
  </si>
  <si>
    <t>Las rutinas no tienen fechas ni duración; la única fecha es la de asignación (cubierta en HE2_HU4_CA1_CP004).</t>
  </si>
  <si>
    <t>—</t>
  </si>
  <si>
    <t>Eliminar usuarios o rutinas</t>
  </si>
  <si>
    <t>E1-HU4 / E2</t>
  </si>
  <si>
    <t>No existe la función: E1-HU4 inactiva sin borrar.</t>
  </si>
  <si>
    <t>Los CA que simulan «no encontrado» borran con SQL; se agregaron variantes por API que no borran datos.</t>
  </si>
  <si>
    <t>Peso o carga de los ejercicios</t>
  </si>
  <si>
    <t>El ejercicio solo tiene nombre, series y repeticiones.</t>
  </si>
  <si>
    <t>5. ÍNDICE DE CP ADICIONALES (ejecutados el 27/10/2026: 32 OK, 10 NOK y 1 PENDIENTE)</t>
  </si>
  <si>
    <t>Prioridad de riesgo</t>
  </si>
  <si>
    <t>Riesgo que busca prevenir</t>
  </si>
  <si>
    <t>Hoja</t>
  </si>
  <si>
    <t>XSS almacenado en el nombre</t>
  </si>
  <si>
    <t>Correo repetido entre usuarios distintos</t>
  </si>
  <si>
    <t>Entrenador crea un administrador por API</t>
  </si>
  <si>
    <t>Teléfono sin dígitos aceptado</t>
  </si>
  <si>
    <t>Documento con puntos esquiva el duplicado</t>
  </si>
  <si>
    <t>Nombre más largo que la columna de la BD</t>
  </si>
  <si>
    <t>Contraseña mayor que el límite de bcrypt</t>
  </si>
  <si>
    <t>Duplicado con espacios alrededor del documento</t>
  </si>
  <si>
    <t>Registro doble simultáneo</t>
  </si>
  <si>
    <t>Rol retirado sigue vigente en sesión abierta</t>
  </si>
  <si>
    <t>Id fuera de rango en la URL</t>
  </si>
  <si>
    <t>Contraseña débil al editar</t>
  </si>
  <si>
    <t>Campo obligatorio con solo espacios</t>
  </si>
  <si>
    <t>Usuario se asigna rol administrador</t>
  </si>
  <si>
    <t>Búsqueda sensible a tildes</t>
  </si>
  <si>
    <t>Entrenador consulta datos personales</t>
  </si>
  <si>
    <t>Comodín % devuelve todo el directorio</t>
  </si>
  <si>
    <t>Inyección SQL en la búsqueda</t>
  </si>
  <si>
    <t>Lista vacía engañosa tras búsqueda vacía</t>
  </si>
  <si>
    <t>Inactivar/activar pierde la rutina</t>
  </si>
  <si>
    <t>Usuario inactivado conserva la sesión</t>
  </si>
  <si>
    <t>Usuario inactivo inicia sesión</t>
  </si>
  <si>
    <t>Autoinactivación del administrador por API</t>
  </si>
  <si>
    <t>Estado inválido por API</t>
  </si>
  <si>
    <t>Rutinas con nombre repetido</t>
  </si>
  <si>
    <t>Suplantar al entrenador creador</t>
  </si>
  <si>
    <t>Usuario crea rutinas por API</t>
  </si>
  <si>
    <t>Series en cero</t>
  </si>
  <si>
    <t>Repeticiones decimales</t>
  </si>
  <si>
    <t>Ejercicio con nombre en blanco</t>
  </si>
  <si>
    <t>Asignación doble simultánea</t>
  </si>
  <si>
    <t>Reasignar la misma rutina vigente</t>
  </si>
  <si>
    <t>Asignar rutina a un entrenador por API</t>
  </si>
  <si>
    <t>Usuario inactivado durante la asignación</t>
  </si>
  <si>
    <t>Asignar una rutina inactiva</t>
  </si>
  <si>
    <t>Id de rutina no numérico</t>
  </si>
  <si>
    <t>Cambio no llega a la rutina asignada</t>
  </si>
  <si>
    <t>Entrenador modifica rutina ajena</t>
  </si>
  <si>
    <t>Modificar rutina inexistente</t>
  </si>
  <si>
    <t>Edición inválida borra ejercicios</t>
  </si>
  <si>
    <t>Consultar la rutina de otro usuario</t>
  </si>
  <si>
    <t>Fecha de asignación futura por zona horaria</t>
  </si>
  <si>
    <t>Token alterado</t>
  </si>
  <si>
    <t>6. EJECUCIÓN DE LOS CP ADICIONALES (27/10/2026)</t>
  </si>
  <si>
    <t>Cómo se ejecutó</t>
  </si>
  <si>
    <t>Copia de pruebas del código del proyecto (SAIYAGYM.zip del 17/10/2026): backend Node/Express 5, PostgreSQL 16 y frontend React/Vite, con los datos de demostración. Se repitió la corrida completa tres veces con la base recreada y los resultados fueron los mismos.</t>
  </si>
  <si>
    <t>Qué evidencia hay</t>
  </si>
  <si>
    <t>Casos por pantalla: capturas del navegador (antes y resultado). Casos «API»: solicitud y respuesta reales enviadas con fetch (no son capturas de Postman). Todo está en Evidencias_&lt;HU&gt;_adicionales.docx.</t>
  </si>
  <si>
    <t>Límite importante</t>
  </si>
  <si>
    <t>Se ejecutó en un entorno distinto al de los 68 CP originales. Si el código del proyecto cambió después del 17/10/2026, o para la entrega final, conviene repetir los NOK en el equipo del grupo.</t>
  </si>
  <si>
    <t>Sin ejecutar</t>
  </si>
  <si>
    <t>HE2_HU4_CA1_CP004 (fecha de asignación): solo se reproduce entre 19:00 y 23:59 hora de Colombia, y depende de la zona horaria del servidor de PostgreSQL.</t>
  </si>
  <si>
    <t>Alcance de HE1_HU1_CA1_CP005</t>
  </si>
  <si>
    <t>Se verificó que el nombre con HTML se muestra como texto en la lista y que no se ejecuta código; no se revisaron el formulario de edición ni el selector de asignación (el usuario quedó Inactivo y el selector solo ofrece activos).</t>
  </si>
  <si>
    <t>Datos de prueba que cambian el estado</t>
  </si>
  <si>
    <t>Los casos NOK dejan datos de prueba (por ejemplo un correo repetido o una rutina duplicada); en la copia de pruebas se limpiaron los que afectaban a otros casos.</t>
  </si>
  <si>
    <t>HALLAZGOS (casos NOK)</t>
  </si>
  <si>
    <t>Nivel sugerido</t>
  </si>
  <si>
    <t>Regla pendiente</t>
  </si>
  <si>
    <t>Acepta un teléfono sin dígitos («-------»).</t>
  </si>
  <si>
    <t>El servidor asigna una rutina a un usuario con rol entrenador (queda una asignación huérfana).</t>
  </si>
  <si>
    <t>Un entrenador puede modificar una rutina creada por otro.</t>
  </si>
  <si>
    <t>Permite dos rutinas con el mismo nombre.</t>
  </si>
  <si>
    <t>Acepta un correo repetido entre usuarios distintos.</t>
  </si>
  <si>
    <t>La búsqueda distingue tildes («perez» no encuentra «Pérez»).</t>
  </si>
  <si>
    <t>Con dos asignaciones simultáneas, la segunda responde HTTP 500 genérico; la integridad se conserva.</t>
  </si>
  <si>
    <t>Reasignar la misma rutina vigente crea otro registro en el historial.</t>
  </si>
  <si>
    <t>Mensaje con error de concordancia: «El rutina indicado no es válido.».</t>
  </si>
  <si>
    <t>Con token alterado el texto es «Tu sesión terminó. Ingresa nuevamente.», no el esperado; el acceso se bloquea bien.</t>
  </si>
  <si>
    <t>Los NOK de casos con «regla pendiente» (R01, R04, R06–R09) dependen de lo que confirme la profesora: si la regla actual es la correcta, esos CP pasan a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</si>
</sst>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charset val="1"/>
    </font>
    <font>
      <b/>
      <sz val="16"/>
      <color rgb="FFFFFFFF"/>
      <name val="Arial"/>
      <charset val="1"/>
    </font>
    <font>
      <b/>
      <sz val="10"/>
      <color rgb="FF1B1B19"/>
      <name val="Arial"/>
      <charset val="1"/>
    </font>
    <font>
      <b/>
      <sz val="10"/>
      <name val="Arial"/>
      <charset val="1"/>
    </font>
    <font>
      <sz val="10"/>
      <name val="Arial"/>
      <charset val="1"/>
    </font>
    <font>
      <i/>
      <sz val="9"/>
      <color rgb="FF555555"/>
      <name val="Arial"/>
      <charset val="1"/>
    </font>
    <font>
      <b/>
      <sz val="10"/>
      <color rgb="FFFFFFFF"/>
      <name val="Arial"/>
      <charset val="1"/>
    </font>
    <font>
      <i/>
      <sz val="9"/>
      <name val="Arial"/>
      <charset val="1"/>
    </font>
    <font>
      <sz val="10"/>
      <color rgb="FF0000FF"/>
      <name val="Arial"/>
      <charset val="1"/>
    </font>
    <font>
      <u/>
      <sz val="11"/>
      <color theme="10"/>
      <name val="Calibri"/>
      <family val="2"/>
      <charset val="1"/>
    </font>
    <font>
      <u/>
      <sz val="11"/>
      <color theme="1"/>
      <name val="Calibri"/>
      <family val="2"/>
      <charset val="1"/>
    </font>
    <font>
      <b/>
      <sz val="14"/>
      <color rgb="FFFFFFFF"/>
      <name val="Arial"/>
      <charset val="1"/>
    </font>
  </fonts>
  <fills count="8">
    <fill>
      <patternFill patternType="none"/>
    </fill>
    <fill>
      <patternFill patternType="gray125"/>
    </fill>
    <fill>
      <patternFill patternType="solid">
        <fgColor rgb="FF1B1B19"/>
        <bgColor rgb="FF003300"/>
      </patternFill>
    </fill>
    <fill>
      <patternFill patternType="solid">
        <fgColor rgb="FFE2C57D"/>
        <bgColor rgb="FFBFBFBF"/>
      </patternFill>
    </fill>
    <fill>
      <patternFill patternType="solid">
        <fgColor rgb="FFFFF2A8"/>
        <bgColor rgb="FFFFFBD6"/>
      </patternFill>
    </fill>
    <fill>
      <patternFill patternType="solid">
        <fgColor rgb="FFF2F2F2"/>
        <bgColor rgb="FFFFFFFF"/>
      </patternFill>
    </fill>
    <fill>
      <patternFill patternType="solid">
        <fgColor rgb="FFFFFFFF"/>
        <bgColor rgb="FFF2F2F2"/>
      </patternFill>
    </fill>
    <fill>
      <patternFill patternType="solid">
        <fgColor rgb="FFFFFBD6"/>
        <bgColor rgb="FFF2F2F2"/>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9" fillId="0" borderId="0"/>
  </cellStyleXfs>
  <cellXfs count="58">
    <xf numFmtId="0" fontId="0" fillId="0" borderId="0" xfId="0"/>
    <xf numFmtId="0" fontId="5" fillId="0" borderId="0" xfId="0" applyFont="1"/>
    <xf numFmtId="0" fontId="4" fillId="0" borderId="2" xfId="0" applyFont="1" applyBorder="1" applyAlignment="1">
      <alignment horizontal="left" vertical="center" wrapText="1"/>
    </xf>
    <xf numFmtId="0" fontId="6" fillId="2" borderId="2" xfId="0" applyFont="1" applyFill="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6" fillId="2" borderId="1" xfId="0" applyFont="1" applyFill="1" applyBorder="1" applyAlignment="1">
      <alignment horizontal="center" vertical="center" wrapText="1"/>
    </xf>
    <xf numFmtId="0" fontId="4" fillId="0" borderId="1" xfId="0" applyFont="1" applyBorder="1" applyAlignment="1">
      <alignment horizontal="center" vertical="center"/>
    </xf>
    <xf numFmtId="1" fontId="4" fillId="0" borderId="1" xfId="0" applyNumberFormat="1" applyFont="1" applyBorder="1" applyAlignment="1">
      <alignment horizontal="center" vertical="center"/>
    </xf>
    <xf numFmtId="0" fontId="3" fillId="3" borderId="1" xfId="0" applyFont="1" applyFill="1" applyBorder="1"/>
    <xf numFmtId="0" fontId="0" fillId="3" borderId="1" xfId="0" applyFill="1" applyBorder="1"/>
    <xf numFmtId="0" fontId="3" fillId="3" borderId="1" xfId="0" applyFont="1" applyFill="1" applyBorder="1" applyAlignment="1">
      <alignment horizontal="center"/>
    </xf>
    <xf numFmtId="0" fontId="3" fillId="3" borderId="2" xfId="0" applyFont="1" applyFill="1" applyBorder="1" applyAlignment="1">
      <alignment horizontal="center" vertical="center" wrapText="1"/>
    </xf>
    <xf numFmtId="0" fontId="4" fillId="0" borderId="2" xfId="0" applyFont="1" applyBorder="1" applyAlignment="1">
      <alignment horizontal="center" vertical="center" wrapText="1"/>
    </xf>
    <xf numFmtId="164" fontId="4" fillId="0" borderId="2" xfId="0" applyNumberFormat="1" applyFont="1" applyBorder="1" applyAlignment="1">
      <alignment horizontal="center" vertical="center" wrapText="1"/>
    </xf>
    <xf numFmtId="1" fontId="4" fillId="0" borderId="2" xfId="0" applyNumberFormat="1" applyFont="1" applyBorder="1" applyAlignment="1">
      <alignment horizontal="center" vertical="center" wrapText="1"/>
    </xf>
    <xf numFmtId="0" fontId="4" fillId="3" borderId="2" xfId="0" applyFont="1" applyFill="1" applyBorder="1" applyAlignment="1">
      <alignment horizontal="center" vertical="center" wrapText="1"/>
    </xf>
    <xf numFmtId="164" fontId="3" fillId="3" borderId="2" xfId="0" applyNumberFormat="1" applyFont="1" applyFill="1" applyBorder="1" applyAlignment="1">
      <alignment horizontal="center" vertical="center" wrapText="1"/>
    </xf>
    <xf numFmtId="1" fontId="3" fillId="3" borderId="2" xfId="0" applyNumberFormat="1" applyFont="1" applyFill="1" applyBorder="1" applyAlignment="1">
      <alignment horizontal="center" vertical="center" wrapText="1"/>
    </xf>
    <xf numFmtId="1" fontId="3" fillId="0" borderId="2" xfId="0" applyNumberFormat="1" applyFont="1" applyBorder="1" applyAlignment="1">
      <alignment horizontal="center" vertical="center" wrapText="1"/>
    </xf>
    <xf numFmtId="164" fontId="3"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4" fillId="0" borderId="1" xfId="0" applyFont="1" applyBorder="1"/>
    <xf numFmtId="0" fontId="3" fillId="5" borderId="1" xfId="0" applyFont="1" applyFill="1" applyBorder="1" applyAlignment="1">
      <alignment horizontal="left" vertical="center" wrapText="1"/>
    </xf>
    <xf numFmtId="0" fontId="3" fillId="0" borderId="1" xfId="0" applyFont="1" applyBorder="1"/>
    <xf numFmtId="0" fontId="4" fillId="6"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10" fillId="0" borderId="0" xfId="0" applyFont="1"/>
    <xf numFmtId="0" fontId="3"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9" fillId="7" borderId="1" xfId="1" applyFill="1" applyBorder="1" applyAlignment="1">
      <alignment horizontal="left" vertical="center" wrapText="1"/>
    </xf>
    <xf numFmtId="0" fontId="3"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2" fillId="3" borderId="0" xfId="0" applyFont="1" applyFill="1" applyAlignment="1">
      <alignment horizontal="left" vertical="center" wrapText="1"/>
    </xf>
    <xf numFmtId="0" fontId="4" fillId="0" borderId="1" xfId="0" applyFont="1" applyBorder="1" applyAlignment="1">
      <alignment horizontal="left"/>
    </xf>
    <xf numFmtId="1" fontId="3" fillId="0" borderId="1" xfId="0" applyNumberFormat="1" applyFont="1" applyBorder="1" applyAlignment="1">
      <alignment horizontal="left"/>
    </xf>
    <xf numFmtId="0" fontId="4" fillId="5" borderId="1" xfId="0" applyFont="1" applyFill="1" applyBorder="1" applyAlignment="1">
      <alignment horizontal="left"/>
    </xf>
    <xf numFmtId="0" fontId="3" fillId="0" borderId="1" xfId="0" applyFont="1" applyBorder="1" applyAlignment="1">
      <alignment horizontal="left"/>
    </xf>
    <xf numFmtId="0" fontId="2" fillId="3" borderId="0" xfId="0" applyFont="1" applyFill="1"/>
    <xf numFmtId="0" fontId="8" fillId="4" borderId="1" xfId="0" applyFont="1" applyFill="1" applyBorder="1" applyAlignment="1">
      <alignment horizontal="left" vertical="center" wrapText="1"/>
    </xf>
    <xf numFmtId="164" fontId="3" fillId="0" borderId="1" xfId="0" applyNumberFormat="1" applyFont="1" applyBorder="1" applyAlignment="1">
      <alignment horizontal="left"/>
    </xf>
    <xf numFmtId="0" fontId="3" fillId="5" borderId="0" xfId="0" applyFont="1" applyFill="1"/>
    <xf numFmtId="0" fontId="1" fillId="2" borderId="0" xfId="0" applyFont="1" applyFill="1" applyAlignment="1">
      <alignment horizontal="left" vertical="center" indent="1"/>
    </xf>
    <xf numFmtId="0" fontId="5" fillId="0" borderId="0" xfId="0" applyFont="1"/>
    <xf numFmtId="0" fontId="2" fillId="3" borderId="1" xfId="0" applyFont="1" applyFill="1" applyBorder="1"/>
    <xf numFmtId="0" fontId="1" fillId="2" borderId="0" xfId="0" applyFont="1" applyFill="1" applyAlignment="1">
      <alignment vertical="center" indent="1"/>
    </xf>
    <xf numFmtId="0" fontId="7" fillId="0" borderId="0" xfId="0" applyFont="1" applyAlignment="1">
      <alignment horizontal="left" vertical="center" wrapText="1"/>
    </xf>
    <xf numFmtId="0" fontId="3" fillId="0" borderId="2" xfId="0" applyFont="1" applyBorder="1" applyAlignment="1">
      <alignment horizontal="left" vertical="center" wrapText="1"/>
    </xf>
    <xf numFmtId="0" fontId="4" fillId="0" borderId="2" xfId="0" applyFont="1" applyBorder="1" applyAlignment="1">
      <alignment horizontal="left" vertical="center" wrapText="1"/>
    </xf>
    <xf numFmtId="0" fontId="5" fillId="0" borderId="0" xfId="0" applyFont="1" applyAlignment="1">
      <alignment horizontal="left" vertical="center" wrapText="1"/>
    </xf>
    <xf numFmtId="0" fontId="3" fillId="3" borderId="0" xfId="0" applyFont="1" applyFill="1" applyAlignment="1">
      <alignment horizontal="left" vertical="center" wrapText="1"/>
    </xf>
    <xf numFmtId="0" fontId="6" fillId="2" borderId="2"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0" borderId="0" xfId="0" applyFont="1" applyAlignment="1">
      <alignment horizontal="left" vertical="center" wrapText="1"/>
    </xf>
    <xf numFmtId="0" fontId="11" fillId="2" borderId="0" xfId="0" applyFont="1" applyFill="1" applyAlignment="1">
      <alignment horizontal="left" vertical="center" wrapText="1"/>
    </xf>
  </cellXfs>
  <cellStyles count="2">
    <cellStyle name="Hipervínculo" xfId="1" builtinId="8"/>
    <cellStyle name="Normal" xfId="0" builtinId="0"/>
  </cellStyles>
  <dxfs count="23">
    <dxf>
      <font>
        <b/>
        <color rgb="FF9C0006"/>
        <name val="Arial"/>
        <charset val="1"/>
      </font>
      <fill>
        <patternFill>
          <bgColor rgb="FFFFC7CE"/>
        </patternFill>
      </fill>
    </dxf>
    <dxf>
      <font>
        <b/>
        <color rgb="FF006100"/>
        <name val="Arial"/>
        <charset val="1"/>
      </font>
      <fill>
        <patternFill>
          <bgColor rgb="FFC6EFCE"/>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9C0006"/>
        <name val="Arial"/>
        <charset val="1"/>
      </font>
      <fill>
        <patternFill>
          <bgColor rgb="FFFFC7CE"/>
        </patternFill>
      </fill>
    </dxf>
    <dxf>
      <font>
        <b/>
        <color rgb="FF006100"/>
        <name val="Arial"/>
        <charset val="1"/>
      </font>
      <fill>
        <patternFill>
          <bgColor rgb="FFC6EFCE"/>
        </patternFill>
      </fill>
    </dxf>
    <dxf>
      <font>
        <color rgb="FF9C0006"/>
      </font>
      <fill>
        <patternFill>
          <bgColor rgb="FFFFC7CE"/>
        </patternFill>
      </fill>
    </dxf>
    <dxf>
      <font>
        <color rgb="FF9C0006"/>
      </font>
      <fill>
        <patternFill>
          <bgColor rgb="FFFFC7CE"/>
        </patternFill>
      </fill>
    </dxf>
    <dxf>
      <font>
        <b/>
        <color rgb="FF9C0006"/>
        <name val="Arial"/>
        <charset val="1"/>
      </font>
      <fill>
        <patternFill>
          <bgColor rgb="FFFFC7CE"/>
        </patternFill>
      </fill>
    </dxf>
    <dxf>
      <font>
        <b/>
        <color rgb="FF006100"/>
        <name val="Arial"/>
        <charset val="1"/>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C0504D"/>
      <rgbColor rgb="FFFFFBD6"/>
      <rgbColor rgb="FFF2F2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6EFCE"/>
      <rgbColor rgb="FFFFF2A8"/>
      <rgbColor rgb="FF99CCFF"/>
      <rgbColor rgb="FFFF99CC"/>
      <rgbColor rgb="FFCC99FF"/>
      <rgbColor rgb="FFFFC7CE"/>
      <rgbColor rgb="FF3366FF"/>
      <rgbColor rgb="FF33CCCC"/>
      <rgbColor rgb="FF99CC00"/>
      <rgbColor rgb="FFE2C57D"/>
      <rgbColor rgb="FFFF9900"/>
      <rgbColor rgb="FFFF6600"/>
      <rgbColor rgb="FF4F81BD"/>
      <rgbColor rgb="FF999999"/>
      <rgbColor rgb="FF003366"/>
      <rgbColor rgb="FF339966"/>
      <rgbColor rgb="FF003300"/>
      <rgbColor rgb="FF1B1B19"/>
      <rgbColor rgb="FF993300"/>
      <rgbColor rgb="FF993366"/>
      <rgbColor rgb="FF333399"/>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O" sz="1800" b="1" strike="noStrike" spc="-1">
                <a:solidFill>
                  <a:srgbClr val="000000"/>
                </a:solidFill>
                <a:latin typeface="Calibri"/>
              </a:defRPr>
            </a:pPr>
            <a:r>
              <a:rPr lang="es-CO" sz="1800" b="1" strike="noStrike" spc="-1">
                <a:solidFill>
                  <a:srgbClr val="000000"/>
                </a:solidFill>
                <a:latin typeface="Calibri"/>
              </a:rPr>
              <a:t>Resultado de la ejecución</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9033-4DEA-85A5-2CF3FBF1B1DD}"/>
              </c:ext>
            </c:extLst>
          </c:dPt>
          <c:dPt>
            <c:idx val="1"/>
            <c:bubble3D val="0"/>
            <c:spPr>
              <a:solidFill>
                <a:srgbClr val="C0504D"/>
              </a:solidFill>
              <a:ln w="0">
                <a:noFill/>
              </a:ln>
            </c:spPr>
            <c:extLst>
              <c:ext xmlns:c16="http://schemas.microsoft.com/office/drawing/2014/chart" uri="{C3380CC4-5D6E-409C-BE32-E72D297353CC}">
                <c16:uniqueId val="{00000003-9033-4DEA-85A5-2CF3FBF1B1DD}"/>
              </c:ext>
            </c:extLst>
          </c:dPt>
          <c:dLbls>
            <c:dLbl>
              <c:idx val="0"/>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9033-4DEA-85A5-2CF3FBF1B1DD}"/>
                </c:ext>
              </c:extLst>
            </c:dLbl>
            <c:dLbl>
              <c:idx val="1"/>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9033-4DEA-85A5-2CF3FBF1B1DD}"/>
                </c:ext>
              </c:extLst>
            </c:dLbl>
            <c:spPr>
              <a:noFill/>
              <a:ln>
                <a:noFill/>
              </a:ln>
              <a:effectLst/>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separator>
</c:separator>
            <c:showLeaderLines val="0"/>
            <c:extLst>
              <c:ext xmlns:c15="http://schemas.microsoft.com/office/drawing/2012/chart" uri="{CE6537A1-D6FC-4f65-9D91-7224C49458BB}"/>
            </c:extLst>
          </c:dLbls>
          <c:cat>
            <c:strRef>
              <c:f>'E1-HU1'!$E$7:$E$8</c:f>
              <c:strCache>
                <c:ptCount val="2"/>
                <c:pt idx="0">
                  <c:v>CP con resultado OK</c:v>
                </c:pt>
                <c:pt idx="1">
                  <c:v>CP con resultado NOK</c:v>
                </c:pt>
              </c:strCache>
            </c:strRef>
          </c:cat>
          <c:val>
            <c:numRef>
              <c:f>'E1-HU1'!$F$7:$F$8</c:f>
              <c:numCache>
                <c:formatCode>0</c:formatCode>
                <c:ptCount val="2"/>
                <c:pt idx="0">
                  <c:v>23</c:v>
                </c:pt>
                <c:pt idx="1">
                  <c:v>2</c:v>
                </c:pt>
              </c:numCache>
            </c:numRef>
          </c:val>
          <c:extLst>
            <c:ext xmlns:c16="http://schemas.microsoft.com/office/drawing/2014/chart" uri="{C3380CC4-5D6E-409C-BE32-E72D297353CC}">
              <c16:uniqueId val="{00000004-9033-4DEA-85A5-2CF3FBF1B1DD}"/>
            </c:ext>
          </c:extLst>
        </c:ser>
        <c:dLbls>
          <c:showLegendKey val="0"/>
          <c:showVal val="0"/>
          <c:showCatName val="0"/>
          <c:showSerName val="0"/>
          <c:showPercent val="0"/>
          <c:showBubbleSize val="0"/>
          <c:showLeaderLines val="0"/>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O" sz="1800" b="1" strike="noStrike" spc="-1">
                <a:solidFill>
                  <a:srgbClr val="000000"/>
                </a:solidFill>
                <a:latin typeface="Calibri"/>
              </a:defRPr>
            </a:pPr>
            <a:r>
              <a:rPr lang="es-CO" sz="1800" b="1" strike="noStrike" spc="-1">
                <a:solidFill>
                  <a:srgbClr val="000000"/>
                </a:solidFill>
                <a:latin typeface="Calibri"/>
              </a:rPr>
              <a:t>Resultado de la ejecución</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4A09-43B1-9A43-F958243D80AD}"/>
              </c:ext>
            </c:extLst>
          </c:dPt>
          <c:dPt>
            <c:idx val="1"/>
            <c:bubble3D val="0"/>
            <c:spPr>
              <a:solidFill>
                <a:srgbClr val="C0504D"/>
              </a:solidFill>
              <a:ln w="0">
                <a:noFill/>
              </a:ln>
            </c:spPr>
            <c:extLst>
              <c:ext xmlns:c16="http://schemas.microsoft.com/office/drawing/2014/chart" uri="{C3380CC4-5D6E-409C-BE32-E72D297353CC}">
                <c16:uniqueId val="{00000003-4A09-43B1-9A43-F958243D80AD}"/>
              </c:ext>
            </c:extLst>
          </c:dPt>
          <c:dLbls>
            <c:dLbl>
              <c:idx val="0"/>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4A09-43B1-9A43-F958243D80AD}"/>
                </c:ext>
              </c:extLst>
            </c:dLbl>
            <c:dLbl>
              <c:idx val="1"/>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4A09-43B1-9A43-F958243D80AD}"/>
                </c:ext>
              </c:extLst>
            </c:dLbl>
            <c:spPr>
              <a:noFill/>
              <a:ln>
                <a:noFill/>
              </a:ln>
              <a:effectLst/>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separator>
</c:separator>
            <c:showLeaderLines val="0"/>
            <c:extLst>
              <c:ext xmlns:c15="http://schemas.microsoft.com/office/drawing/2012/chart" uri="{CE6537A1-D6FC-4f65-9D91-7224C49458BB}"/>
            </c:extLst>
          </c:dLbls>
          <c:cat>
            <c:strRef>
              <c:f>'E1-HU2'!$E$7:$E$8</c:f>
              <c:strCache>
                <c:ptCount val="2"/>
                <c:pt idx="0">
                  <c:v>CP con resultado OK</c:v>
                </c:pt>
                <c:pt idx="1">
                  <c:v>CP con resultado NOK</c:v>
                </c:pt>
              </c:strCache>
            </c:strRef>
          </c:cat>
          <c:val>
            <c:numRef>
              <c:f>'E1-HU2'!$F$7:$F$8</c:f>
              <c:numCache>
                <c:formatCode>0</c:formatCode>
                <c:ptCount val="2"/>
                <c:pt idx="0">
                  <c:v>14</c:v>
                </c:pt>
                <c:pt idx="1">
                  <c:v>0</c:v>
                </c:pt>
              </c:numCache>
            </c:numRef>
          </c:val>
          <c:extLst>
            <c:ext xmlns:c16="http://schemas.microsoft.com/office/drawing/2014/chart" uri="{C3380CC4-5D6E-409C-BE32-E72D297353CC}">
              <c16:uniqueId val="{00000004-4A09-43B1-9A43-F958243D80AD}"/>
            </c:ext>
          </c:extLst>
        </c:ser>
        <c:dLbls>
          <c:showLegendKey val="0"/>
          <c:showVal val="0"/>
          <c:showCatName val="0"/>
          <c:showSerName val="0"/>
          <c:showPercent val="0"/>
          <c:showBubbleSize val="0"/>
          <c:showLeaderLines val="0"/>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O" sz="1800" b="1" strike="noStrike" spc="-1">
                <a:solidFill>
                  <a:srgbClr val="000000"/>
                </a:solidFill>
                <a:latin typeface="Calibri"/>
              </a:defRPr>
            </a:pPr>
            <a:r>
              <a:rPr lang="es-CO" sz="1800" b="1" strike="noStrike" spc="-1">
                <a:solidFill>
                  <a:srgbClr val="000000"/>
                </a:solidFill>
                <a:latin typeface="Calibri"/>
              </a:rPr>
              <a:t>Resultado de la ejecución</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25D0-4055-9D4A-D8FC52CDC2AE}"/>
              </c:ext>
            </c:extLst>
          </c:dPt>
          <c:dPt>
            <c:idx val="1"/>
            <c:bubble3D val="0"/>
            <c:spPr>
              <a:solidFill>
                <a:srgbClr val="C0504D"/>
              </a:solidFill>
              <a:ln w="0">
                <a:noFill/>
              </a:ln>
            </c:spPr>
            <c:extLst>
              <c:ext xmlns:c16="http://schemas.microsoft.com/office/drawing/2014/chart" uri="{C3380CC4-5D6E-409C-BE32-E72D297353CC}">
                <c16:uniqueId val="{00000003-25D0-4055-9D4A-D8FC52CDC2AE}"/>
              </c:ext>
            </c:extLst>
          </c:dPt>
          <c:dLbls>
            <c:dLbl>
              <c:idx val="0"/>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25D0-4055-9D4A-D8FC52CDC2AE}"/>
                </c:ext>
              </c:extLst>
            </c:dLbl>
            <c:dLbl>
              <c:idx val="1"/>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25D0-4055-9D4A-D8FC52CDC2AE}"/>
                </c:ext>
              </c:extLst>
            </c:dLbl>
            <c:spPr>
              <a:noFill/>
              <a:ln>
                <a:noFill/>
              </a:ln>
              <a:effectLst/>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separator>
</c:separator>
            <c:showLeaderLines val="0"/>
            <c:extLst>
              <c:ext xmlns:c15="http://schemas.microsoft.com/office/drawing/2012/chart" uri="{CE6537A1-D6FC-4f65-9D91-7224C49458BB}"/>
            </c:extLst>
          </c:dLbls>
          <c:cat>
            <c:strRef>
              <c:f>'E1-HU3'!$E$7:$E$8</c:f>
              <c:strCache>
                <c:ptCount val="2"/>
                <c:pt idx="0">
                  <c:v>CP con resultado OK</c:v>
                </c:pt>
                <c:pt idx="1">
                  <c:v>CP con resultado NOK</c:v>
                </c:pt>
              </c:strCache>
            </c:strRef>
          </c:cat>
          <c:val>
            <c:numRef>
              <c:f>'E1-HU3'!$F$7:$F$8</c:f>
              <c:numCache>
                <c:formatCode>0</c:formatCode>
                <c:ptCount val="2"/>
                <c:pt idx="0">
                  <c:v>11</c:v>
                </c:pt>
                <c:pt idx="1">
                  <c:v>1</c:v>
                </c:pt>
              </c:numCache>
            </c:numRef>
          </c:val>
          <c:extLst>
            <c:ext xmlns:c16="http://schemas.microsoft.com/office/drawing/2014/chart" uri="{C3380CC4-5D6E-409C-BE32-E72D297353CC}">
              <c16:uniqueId val="{00000004-25D0-4055-9D4A-D8FC52CDC2AE}"/>
            </c:ext>
          </c:extLst>
        </c:ser>
        <c:dLbls>
          <c:showLegendKey val="0"/>
          <c:showVal val="0"/>
          <c:showCatName val="0"/>
          <c:showSerName val="0"/>
          <c:showPercent val="0"/>
          <c:showBubbleSize val="0"/>
          <c:showLeaderLines val="0"/>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O" sz="1800" b="1" strike="noStrike" spc="-1">
                <a:solidFill>
                  <a:srgbClr val="000000"/>
                </a:solidFill>
                <a:latin typeface="Calibri"/>
              </a:defRPr>
            </a:pPr>
            <a:r>
              <a:rPr lang="es-CO" sz="1800" b="1" strike="noStrike" spc="-1">
                <a:solidFill>
                  <a:srgbClr val="000000"/>
                </a:solidFill>
                <a:latin typeface="Calibri"/>
              </a:rPr>
              <a:t>Resultado de la ejecución</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4195-4579-A416-1B2F4A125B1D}"/>
              </c:ext>
            </c:extLst>
          </c:dPt>
          <c:dPt>
            <c:idx val="1"/>
            <c:bubble3D val="0"/>
            <c:spPr>
              <a:solidFill>
                <a:srgbClr val="C0504D"/>
              </a:solidFill>
              <a:ln w="0">
                <a:noFill/>
              </a:ln>
            </c:spPr>
            <c:extLst>
              <c:ext xmlns:c16="http://schemas.microsoft.com/office/drawing/2014/chart" uri="{C3380CC4-5D6E-409C-BE32-E72D297353CC}">
                <c16:uniqueId val="{00000003-4195-4579-A416-1B2F4A125B1D}"/>
              </c:ext>
            </c:extLst>
          </c:dPt>
          <c:dLbls>
            <c:dLbl>
              <c:idx val="0"/>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4195-4579-A416-1B2F4A125B1D}"/>
                </c:ext>
              </c:extLst>
            </c:dLbl>
            <c:dLbl>
              <c:idx val="1"/>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4195-4579-A416-1B2F4A125B1D}"/>
                </c:ext>
              </c:extLst>
            </c:dLbl>
            <c:spPr>
              <a:noFill/>
              <a:ln>
                <a:noFill/>
              </a:ln>
              <a:effectLst/>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separator>
</c:separator>
            <c:showLeaderLines val="0"/>
            <c:extLst>
              <c:ext xmlns:c15="http://schemas.microsoft.com/office/drawing/2012/chart" uri="{CE6537A1-D6FC-4f65-9D91-7224C49458BB}"/>
            </c:extLst>
          </c:dLbls>
          <c:cat>
            <c:strRef>
              <c:f>'E1-HU4'!$E$7:$E$8</c:f>
              <c:strCache>
                <c:ptCount val="2"/>
                <c:pt idx="0">
                  <c:v>CP con resultado OK</c:v>
                </c:pt>
                <c:pt idx="1">
                  <c:v>CP con resultado NOK</c:v>
                </c:pt>
              </c:strCache>
            </c:strRef>
          </c:cat>
          <c:val>
            <c:numRef>
              <c:f>'E1-HU4'!$F$7:$F$8</c:f>
              <c:numCache>
                <c:formatCode>0</c:formatCode>
                <c:ptCount val="2"/>
                <c:pt idx="0">
                  <c:v>11</c:v>
                </c:pt>
                <c:pt idx="1">
                  <c:v>0</c:v>
                </c:pt>
              </c:numCache>
            </c:numRef>
          </c:val>
          <c:extLst>
            <c:ext xmlns:c16="http://schemas.microsoft.com/office/drawing/2014/chart" uri="{C3380CC4-5D6E-409C-BE32-E72D297353CC}">
              <c16:uniqueId val="{00000004-4195-4579-A416-1B2F4A125B1D}"/>
            </c:ext>
          </c:extLst>
        </c:ser>
        <c:dLbls>
          <c:showLegendKey val="0"/>
          <c:showVal val="0"/>
          <c:showCatName val="0"/>
          <c:showSerName val="0"/>
          <c:showPercent val="0"/>
          <c:showBubbleSize val="0"/>
          <c:showLeaderLines val="0"/>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O" sz="1800" b="1" strike="noStrike" spc="-1">
                <a:solidFill>
                  <a:srgbClr val="000000"/>
                </a:solidFill>
                <a:latin typeface="Calibri"/>
              </a:defRPr>
            </a:pPr>
            <a:r>
              <a:rPr lang="es-CO" sz="1800" b="1" strike="noStrike" spc="-1">
                <a:solidFill>
                  <a:srgbClr val="000000"/>
                </a:solidFill>
                <a:latin typeface="Calibri"/>
              </a:rPr>
              <a:t>Resultado de la ejecución</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419A-4A40-9107-955E6E9AFCA9}"/>
              </c:ext>
            </c:extLst>
          </c:dPt>
          <c:dPt>
            <c:idx val="1"/>
            <c:bubble3D val="0"/>
            <c:spPr>
              <a:solidFill>
                <a:srgbClr val="C0504D"/>
              </a:solidFill>
              <a:ln w="0">
                <a:noFill/>
              </a:ln>
            </c:spPr>
            <c:extLst>
              <c:ext xmlns:c16="http://schemas.microsoft.com/office/drawing/2014/chart" uri="{C3380CC4-5D6E-409C-BE32-E72D297353CC}">
                <c16:uniqueId val="{00000003-419A-4A40-9107-955E6E9AFCA9}"/>
              </c:ext>
            </c:extLst>
          </c:dPt>
          <c:dLbls>
            <c:dLbl>
              <c:idx val="0"/>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419A-4A40-9107-955E6E9AFCA9}"/>
                </c:ext>
              </c:extLst>
            </c:dLbl>
            <c:dLbl>
              <c:idx val="1"/>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419A-4A40-9107-955E6E9AFCA9}"/>
                </c:ext>
              </c:extLst>
            </c:dLbl>
            <c:spPr>
              <a:noFill/>
              <a:ln>
                <a:noFill/>
              </a:ln>
              <a:effectLst/>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separator>
</c:separator>
            <c:showLeaderLines val="0"/>
            <c:extLst>
              <c:ext xmlns:c15="http://schemas.microsoft.com/office/drawing/2012/chart" uri="{CE6537A1-D6FC-4f65-9D91-7224C49458BB}"/>
            </c:extLst>
          </c:dLbls>
          <c:cat>
            <c:strRef>
              <c:f>'E2-HU1'!$E$7:$E$8</c:f>
              <c:strCache>
                <c:ptCount val="2"/>
                <c:pt idx="0">
                  <c:v>CP con resultado OK</c:v>
                </c:pt>
                <c:pt idx="1">
                  <c:v>CP con resultado NOK</c:v>
                </c:pt>
              </c:strCache>
            </c:strRef>
          </c:cat>
          <c:val>
            <c:numRef>
              <c:f>'E2-HU1'!$F$7:$F$8</c:f>
              <c:numCache>
                <c:formatCode>0</c:formatCode>
                <c:ptCount val="2"/>
                <c:pt idx="0">
                  <c:v>15</c:v>
                </c:pt>
                <c:pt idx="1">
                  <c:v>1</c:v>
                </c:pt>
              </c:numCache>
            </c:numRef>
          </c:val>
          <c:extLst>
            <c:ext xmlns:c16="http://schemas.microsoft.com/office/drawing/2014/chart" uri="{C3380CC4-5D6E-409C-BE32-E72D297353CC}">
              <c16:uniqueId val="{00000004-419A-4A40-9107-955E6E9AFCA9}"/>
            </c:ext>
          </c:extLst>
        </c:ser>
        <c:dLbls>
          <c:showLegendKey val="0"/>
          <c:showVal val="0"/>
          <c:showCatName val="0"/>
          <c:showSerName val="0"/>
          <c:showPercent val="0"/>
          <c:showBubbleSize val="0"/>
          <c:showLeaderLines val="0"/>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O" sz="1800" b="1" strike="noStrike" spc="-1">
                <a:solidFill>
                  <a:srgbClr val="000000"/>
                </a:solidFill>
                <a:latin typeface="Calibri"/>
              </a:defRPr>
            </a:pPr>
            <a:r>
              <a:rPr lang="es-CO" sz="1800" b="1" strike="noStrike" spc="-1">
                <a:solidFill>
                  <a:srgbClr val="000000"/>
                </a:solidFill>
                <a:latin typeface="Calibri"/>
              </a:rPr>
              <a:t>Resultado de la ejecución</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E699-461A-9C62-DF09C462F699}"/>
              </c:ext>
            </c:extLst>
          </c:dPt>
          <c:dPt>
            <c:idx val="1"/>
            <c:bubble3D val="0"/>
            <c:spPr>
              <a:solidFill>
                <a:srgbClr val="C0504D"/>
              </a:solidFill>
              <a:ln w="0">
                <a:noFill/>
              </a:ln>
            </c:spPr>
            <c:extLst>
              <c:ext xmlns:c16="http://schemas.microsoft.com/office/drawing/2014/chart" uri="{C3380CC4-5D6E-409C-BE32-E72D297353CC}">
                <c16:uniqueId val="{00000003-E699-461A-9C62-DF09C462F699}"/>
              </c:ext>
            </c:extLst>
          </c:dPt>
          <c:dLbls>
            <c:dLbl>
              <c:idx val="0"/>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E699-461A-9C62-DF09C462F699}"/>
                </c:ext>
              </c:extLst>
            </c:dLbl>
            <c:dLbl>
              <c:idx val="1"/>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E699-461A-9C62-DF09C462F699}"/>
                </c:ext>
              </c:extLst>
            </c:dLbl>
            <c:spPr>
              <a:noFill/>
              <a:ln>
                <a:noFill/>
              </a:ln>
              <a:effectLst/>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separator>
</c:separator>
            <c:showLeaderLines val="0"/>
            <c:extLst>
              <c:ext xmlns:c15="http://schemas.microsoft.com/office/drawing/2012/chart" uri="{CE6537A1-D6FC-4f65-9D91-7224C49458BB}"/>
            </c:extLst>
          </c:dLbls>
          <c:cat>
            <c:strRef>
              <c:f>'E2-HU2'!$E$7:$E$8</c:f>
              <c:strCache>
                <c:ptCount val="2"/>
                <c:pt idx="0">
                  <c:v>CP con resultado OK</c:v>
                </c:pt>
                <c:pt idx="1">
                  <c:v>CP con resultado NOK</c:v>
                </c:pt>
              </c:strCache>
            </c:strRef>
          </c:cat>
          <c:val>
            <c:numRef>
              <c:f>'E2-HU2'!$F$7:$F$8</c:f>
              <c:numCache>
                <c:formatCode>0</c:formatCode>
                <c:ptCount val="2"/>
                <c:pt idx="0">
                  <c:v>9</c:v>
                </c:pt>
                <c:pt idx="1">
                  <c:v>4</c:v>
                </c:pt>
              </c:numCache>
            </c:numRef>
          </c:val>
          <c:extLst>
            <c:ext xmlns:c16="http://schemas.microsoft.com/office/drawing/2014/chart" uri="{C3380CC4-5D6E-409C-BE32-E72D297353CC}">
              <c16:uniqueId val="{00000004-E699-461A-9C62-DF09C462F699}"/>
            </c:ext>
          </c:extLst>
        </c:ser>
        <c:dLbls>
          <c:showLegendKey val="0"/>
          <c:showVal val="0"/>
          <c:showCatName val="0"/>
          <c:showSerName val="0"/>
          <c:showPercent val="0"/>
          <c:showBubbleSize val="0"/>
          <c:showLeaderLines val="0"/>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O" sz="1800" b="1" strike="noStrike" spc="-1">
                <a:solidFill>
                  <a:srgbClr val="000000"/>
                </a:solidFill>
                <a:latin typeface="Calibri"/>
              </a:defRPr>
            </a:pPr>
            <a:r>
              <a:rPr lang="es-CO" sz="1800" b="1" strike="noStrike" spc="-1">
                <a:solidFill>
                  <a:srgbClr val="000000"/>
                </a:solidFill>
                <a:latin typeface="Calibri"/>
              </a:rPr>
              <a:t>Resultado de la ejecución</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8E0E-4083-BF69-BD198C5EA167}"/>
              </c:ext>
            </c:extLst>
          </c:dPt>
          <c:dPt>
            <c:idx val="1"/>
            <c:bubble3D val="0"/>
            <c:spPr>
              <a:solidFill>
                <a:srgbClr val="C0504D"/>
              </a:solidFill>
              <a:ln w="0">
                <a:noFill/>
              </a:ln>
            </c:spPr>
            <c:extLst>
              <c:ext xmlns:c16="http://schemas.microsoft.com/office/drawing/2014/chart" uri="{C3380CC4-5D6E-409C-BE32-E72D297353CC}">
                <c16:uniqueId val="{00000003-8E0E-4083-BF69-BD198C5EA167}"/>
              </c:ext>
            </c:extLst>
          </c:dPt>
          <c:dLbls>
            <c:dLbl>
              <c:idx val="0"/>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8E0E-4083-BF69-BD198C5EA167}"/>
                </c:ext>
              </c:extLst>
            </c:dLbl>
            <c:dLbl>
              <c:idx val="1"/>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8E0E-4083-BF69-BD198C5EA167}"/>
                </c:ext>
              </c:extLst>
            </c:dLbl>
            <c:spPr>
              <a:noFill/>
              <a:ln>
                <a:noFill/>
              </a:ln>
              <a:effectLst/>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separator>
</c:separator>
            <c:showLeaderLines val="0"/>
            <c:extLst>
              <c:ext xmlns:c15="http://schemas.microsoft.com/office/drawing/2012/chart" uri="{CE6537A1-D6FC-4f65-9D91-7224C49458BB}"/>
            </c:extLst>
          </c:dLbls>
          <c:cat>
            <c:strRef>
              <c:f>'E2-HU3'!$E$7:$E$8</c:f>
              <c:strCache>
                <c:ptCount val="2"/>
                <c:pt idx="0">
                  <c:v>CP con resultado OK</c:v>
                </c:pt>
                <c:pt idx="1">
                  <c:v>CP con resultado NOK</c:v>
                </c:pt>
              </c:strCache>
            </c:strRef>
          </c:cat>
          <c:val>
            <c:numRef>
              <c:f>'E2-HU3'!$F$7:$F$8</c:f>
              <c:numCache>
                <c:formatCode>0</c:formatCode>
                <c:ptCount val="2"/>
                <c:pt idx="0">
                  <c:v>10</c:v>
                </c:pt>
                <c:pt idx="1">
                  <c:v>1</c:v>
                </c:pt>
              </c:numCache>
            </c:numRef>
          </c:val>
          <c:extLst>
            <c:ext xmlns:c16="http://schemas.microsoft.com/office/drawing/2014/chart" uri="{C3380CC4-5D6E-409C-BE32-E72D297353CC}">
              <c16:uniqueId val="{00000004-8E0E-4083-BF69-BD198C5EA167}"/>
            </c:ext>
          </c:extLst>
        </c:ser>
        <c:dLbls>
          <c:showLegendKey val="0"/>
          <c:showVal val="0"/>
          <c:showCatName val="0"/>
          <c:showSerName val="0"/>
          <c:showPercent val="0"/>
          <c:showBubbleSize val="0"/>
          <c:showLeaderLines val="0"/>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O" sz="1800" b="1" strike="noStrike" spc="-1">
                <a:solidFill>
                  <a:srgbClr val="000000"/>
                </a:solidFill>
                <a:latin typeface="Calibri"/>
              </a:defRPr>
            </a:pPr>
            <a:r>
              <a:rPr lang="es-CO" sz="1800" b="1" strike="noStrike" spc="-1">
                <a:solidFill>
                  <a:srgbClr val="000000"/>
                </a:solidFill>
                <a:latin typeface="Calibri"/>
              </a:rPr>
              <a:t>Resultado de la ejecución</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4BBD-4AD2-BB4B-B429ECD54327}"/>
              </c:ext>
            </c:extLst>
          </c:dPt>
          <c:dPt>
            <c:idx val="1"/>
            <c:bubble3D val="0"/>
            <c:spPr>
              <a:solidFill>
                <a:srgbClr val="C0504D"/>
              </a:solidFill>
              <a:ln w="0">
                <a:noFill/>
              </a:ln>
            </c:spPr>
            <c:extLst>
              <c:ext xmlns:c16="http://schemas.microsoft.com/office/drawing/2014/chart" uri="{C3380CC4-5D6E-409C-BE32-E72D297353CC}">
                <c16:uniqueId val="{00000003-4BBD-4AD2-BB4B-B429ECD54327}"/>
              </c:ext>
            </c:extLst>
          </c:dPt>
          <c:dLbls>
            <c:dLbl>
              <c:idx val="0"/>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4BBD-4AD2-BB4B-B429ECD54327}"/>
                </c:ext>
              </c:extLst>
            </c:dLbl>
            <c:dLbl>
              <c:idx val="1"/>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4BBD-4AD2-BB4B-B429ECD54327}"/>
                </c:ext>
              </c:extLst>
            </c:dLbl>
            <c:spPr>
              <a:noFill/>
              <a:ln>
                <a:noFill/>
              </a:ln>
              <a:effectLst/>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separator>
</c:separator>
            <c:showLeaderLines val="0"/>
            <c:extLst>
              <c:ext xmlns:c15="http://schemas.microsoft.com/office/drawing/2012/chart" uri="{CE6537A1-D6FC-4f65-9D91-7224C49458BB}"/>
            </c:extLst>
          </c:dLbls>
          <c:cat>
            <c:strRef>
              <c:f>'E2-HU4'!$E$7:$E$8</c:f>
              <c:strCache>
                <c:ptCount val="2"/>
                <c:pt idx="0">
                  <c:v>CP con resultado OK</c:v>
                </c:pt>
                <c:pt idx="1">
                  <c:v>CP con resultado NOK</c:v>
                </c:pt>
              </c:strCache>
            </c:strRef>
          </c:cat>
          <c:val>
            <c:numRef>
              <c:f>'E2-HU4'!$F$7:$F$8</c:f>
              <c:numCache>
                <c:formatCode>0</c:formatCode>
                <c:ptCount val="2"/>
                <c:pt idx="0">
                  <c:v>7</c:v>
                </c:pt>
                <c:pt idx="1">
                  <c:v>1</c:v>
                </c:pt>
              </c:numCache>
            </c:numRef>
          </c:val>
          <c:extLst>
            <c:ext xmlns:c16="http://schemas.microsoft.com/office/drawing/2014/chart" uri="{C3380CC4-5D6E-409C-BE32-E72D297353CC}">
              <c16:uniqueId val="{00000004-4BBD-4AD2-BB4B-B429ECD54327}"/>
            </c:ext>
          </c:extLst>
        </c:ser>
        <c:dLbls>
          <c:showLegendKey val="0"/>
          <c:showVal val="0"/>
          <c:showCatName val="0"/>
          <c:showSerName val="0"/>
          <c:showPercent val="0"/>
          <c:showBubbleSize val="0"/>
          <c:showLeaderLines val="0"/>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Resultado de la ejecución</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D908-4189-95CA-54C5E0CBD59C}"/>
              </c:ext>
            </c:extLst>
          </c:dPt>
          <c:dPt>
            <c:idx val="1"/>
            <c:bubble3D val="0"/>
            <c:spPr>
              <a:solidFill>
                <a:srgbClr val="C0504D"/>
              </a:solidFill>
              <a:ln w="0">
                <a:noFill/>
              </a:ln>
            </c:spPr>
            <c:extLst>
              <c:ext xmlns:c16="http://schemas.microsoft.com/office/drawing/2014/chart" uri="{C3380CC4-5D6E-409C-BE32-E72D297353CC}">
                <c16:uniqueId val="{00000003-D908-4189-95CA-54C5E0CBD59C}"/>
              </c:ext>
            </c:extLst>
          </c:dPt>
          <c:dLbls>
            <c:dLbl>
              <c:idx val="0"/>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D908-4189-95CA-54C5E0CBD59C}"/>
                </c:ext>
              </c:extLst>
            </c:dLbl>
            <c:dLbl>
              <c:idx val="1"/>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D908-4189-95CA-54C5E0CBD59C}"/>
                </c:ext>
              </c:extLst>
            </c:dLbl>
            <c:spPr>
              <a:noFill/>
              <a:ln>
                <a:noFill/>
              </a:ln>
              <a:effectLst/>
            </c:spPr>
            <c:txPr>
              <a:bodyPr wrap="square"/>
              <a:lstStyle/>
              <a:p>
                <a:pPr>
                  <a:defRPr sz="1000" b="0" strike="noStrike" spc="-1">
                    <a:solidFill>
                      <a:srgbClr val="000000"/>
                    </a:solidFill>
                    <a:latin typeface="Calibri"/>
                  </a:defRPr>
                </a:pPr>
                <a:endParaRPr lang="es-CO"/>
              </a:p>
            </c:txPr>
            <c:dLblPos val="bestFit"/>
            <c:showLegendKey val="1"/>
            <c:showVal val="0"/>
            <c:showCatName val="0"/>
            <c:showSerName val="0"/>
            <c:showPercent val="1"/>
            <c:showBubbleSize val="1"/>
            <c:separator>
</c:separator>
            <c:showLeaderLines val="0"/>
            <c:extLst>
              <c:ext xmlns:c15="http://schemas.microsoft.com/office/drawing/2012/chart" uri="{CE6537A1-D6FC-4f65-9D91-7224C49458BB}"/>
            </c:extLst>
          </c:dLbls>
          <c:cat>
            <c:strRef>
              <c:f>'Formato en blanco'!$E$7:$E$8</c:f>
              <c:strCache>
                <c:ptCount val="2"/>
                <c:pt idx="0">
                  <c:v>CP con resultado OK</c:v>
                </c:pt>
                <c:pt idx="1">
                  <c:v>CP con resultado NOK</c:v>
                </c:pt>
              </c:strCache>
            </c:strRef>
          </c:cat>
          <c:val>
            <c:numRef>
              <c:f>'Formato en blanco'!$F$7:$F$8</c:f>
              <c:numCache>
                <c:formatCode>0</c:formatCode>
                <c:ptCount val="2"/>
                <c:pt idx="0">
                  <c:v>0</c:v>
                </c:pt>
                <c:pt idx="1">
                  <c:v>0</c:v>
                </c:pt>
              </c:numCache>
            </c:numRef>
          </c:val>
          <c:extLst>
            <c:ext xmlns:c16="http://schemas.microsoft.com/office/drawing/2014/chart" uri="{C3380CC4-5D6E-409C-BE32-E72D297353CC}">
              <c16:uniqueId val="{00000004-D908-4189-95CA-54C5E0CBD59C}"/>
            </c:ext>
          </c:extLst>
        </c:ser>
        <c:dLbls>
          <c:showLegendKey val="0"/>
          <c:showVal val="0"/>
          <c:showCatName val="0"/>
          <c:showSerName val="0"/>
          <c:showPercent val="0"/>
          <c:showBubbleSize val="0"/>
          <c:showLeaderLines val="0"/>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8</xdr:col>
      <xdr:colOff>2110680</xdr:colOff>
      <xdr:row>14</xdr:row>
      <xdr:rowOff>22680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8</xdr:col>
      <xdr:colOff>2110680</xdr:colOff>
      <xdr:row>14</xdr:row>
      <xdr:rowOff>135000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8</xdr:col>
      <xdr:colOff>2110680</xdr:colOff>
      <xdr:row>14</xdr:row>
      <xdr:rowOff>135000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8</xdr:col>
      <xdr:colOff>2110680</xdr:colOff>
      <xdr:row>14</xdr:row>
      <xdr:rowOff>135000</xdr:rowOff>
    </xdr:to>
    <xdr:graphicFrame macro="">
      <xdr:nvGraphicFramePr>
        <xdr:cNvPr id="3" name="Chart 1">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8</xdr:col>
      <xdr:colOff>2110680</xdr:colOff>
      <xdr:row>14</xdr:row>
      <xdr:rowOff>135000</xdr:rowOff>
    </xdr:to>
    <xdr:graphicFrame macro="">
      <xdr:nvGraphicFramePr>
        <xdr:cNvPr id="4" name="Chart 1">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8</xdr:col>
      <xdr:colOff>2110680</xdr:colOff>
      <xdr:row>14</xdr:row>
      <xdr:rowOff>135000</xdr:rowOff>
    </xdr:to>
    <xdr:graphicFrame macro="">
      <xdr:nvGraphicFramePr>
        <xdr:cNvPr id="5" name="Chart 1">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8</xdr:col>
      <xdr:colOff>2110680</xdr:colOff>
      <xdr:row>14</xdr:row>
      <xdr:rowOff>135000</xdr:rowOff>
    </xdr:to>
    <xdr:graphicFrame macro="">
      <xdr:nvGraphicFramePr>
        <xdr:cNvPr id="6" name="Chart 1">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8</xdr:col>
      <xdr:colOff>2110680</xdr:colOff>
      <xdr:row>14</xdr:row>
      <xdr:rowOff>135000</xdr:rowOff>
    </xdr:to>
    <xdr:graphicFrame macro="">
      <xdr:nvGraphicFramePr>
        <xdr:cNvPr id="7" name="Chart 1">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8</xdr:col>
      <xdr:colOff>2110680</xdr:colOff>
      <xdr:row>14</xdr:row>
      <xdr:rowOff>135000</xdr:rowOff>
    </xdr:to>
    <xdr:graphicFrame macro="">
      <xdr:nvGraphicFramePr>
        <xdr:cNvPr id="8" name="Chart 1">
          <a:extLst>
            <a:ext uri="{FF2B5EF4-FFF2-40B4-BE49-F238E27FC236}">
              <a16:creationId xmlns:a16="http://schemas.microsoft.com/office/drawing/2014/main" id="{00000000-0008-0000-0B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docs.google.com/document/d/1QQVp4MpEKhB28qrx3a3Iag5cRzZDnUSb/edit?usp=drive_link&amp;ouid=103533695958335943637&amp;rtpof=true&amp;sd=true" TargetMode="External"/><Relationship Id="rId13" Type="http://schemas.openxmlformats.org/officeDocument/2006/relationships/hyperlink" Target="https://docs.google.com/document/d/1QQVp4MpEKhB28qrx3a3Iag5cRzZDnUSb/edit?usp=drive_link&amp;ouid=103533695958335943637&amp;rtpof=true&amp;sd=true" TargetMode="External"/><Relationship Id="rId18" Type="http://schemas.openxmlformats.org/officeDocument/2006/relationships/hyperlink" Target="https://docs.google.com/document/d/1SQXwHaX_Xzp_xX40MSrngpTA4fMTUNPkF6oS-FJqIAs/edit?usp=sharing" TargetMode="External"/><Relationship Id="rId26" Type="http://schemas.openxmlformats.org/officeDocument/2006/relationships/drawing" Target="../drawings/drawing1.xml"/><Relationship Id="rId3" Type="http://schemas.openxmlformats.org/officeDocument/2006/relationships/hyperlink" Target="https://docs.google.com/document/d/1QQVp4MpEKhB28qrx3a3Iag5cRzZDnUSb/edit?usp=drive_link&amp;ouid=103533695958335943637&amp;rtpof=true&amp;sd=true" TargetMode="External"/><Relationship Id="rId21" Type="http://schemas.openxmlformats.org/officeDocument/2006/relationships/hyperlink" Target="https://docs.google.com/document/d/1SQXwHaX_Xzp_xX40MSrngpTA4fMTUNPkF6oS-FJqIAs/edit?usp=sharing" TargetMode="External"/><Relationship Id="rId7" Type="http://schemas.openxmlformats.org/officeDocument/2006/relationships/hyperlink" Target="https://docs.google.com/document/d/1QQVp4MpEKhB28qrx3a3Iag5cRzZDnUSb/edit?usp=drive_link&amp;ouid=103533695958335943637&amp;rtpof=true&amp;sd=true" TargetMode="External"/><Relationship Id="rId12" Type="http://schemas.openxmlformats.org/officeDocument/2006/relationships/hyperlink" Target="https://docs.google.com/document/d/1QQVp4MpEKhB28qrx3a3Iag5cRzZDnUSb/edit?usp=drive_link&amp;ouid=103533695958335943637&amp;rtpof=true&amp;sd=true" TargetMode="External"/><Relationship Id="rId17" Type="http://schemas.openxmlformats.org/officeDocument/2006/relationships/hyperlink" Target="https://docs.google.com/document/d/1SQXwHaX_Xzp_xX40MSrngpTA4fMTUNPkF6oS-FJqIAs/edit?usp=sharing" TargetMode="External"/><Relationship Id="rId25" Type="http://schemas.openxmlformats.org/officeDocument/2006/relationships/hyperlink" Target="https://docs.google.com/document/d/1SQXwHaX_Xzp_xX40MSrngpTA4fMTUNPkF6oS-FJqIAs/edit?usp=sharing" TargetMode="External"/><Relationship Id="rId2" Type="http://schemas.openxmlformats.org/officeDocument/2006/relationships/hyperlink" Target="https://docs.google.com/document/d/1QQVp4MpEKhB28qrx3a3Iag5cRzZDnUSb/edit?usp=drive_link&amp;ouid=103533695958335943637&amp;rtpof=true&amp;sd=true" TargetMode="External"/><Relationship Id="rId16" Type="http://schemas.openxmlformats.org/officeDocument/2006/relationships/hyperlink" Target="https://docs.google.com/document/d/1QQVp4MpEKhB28qrx3a3Iag5cRzZDnUSb/edit?usp=drive_link&amp;ouid=103533695958335943637&amp;rtpof=true&amp;sd=true" TargetMode="External"/><Relationship Id="rId20" Type="http://schemas.openxmlformats.org/officeDocument/2006/relationships/hyperlink" Target="https://docs.google.com/document/d/1SQXwHaX_Xzp_xX40MSrngpTA4fMTUNPkF6oS-FJqIAs/edit?usp=sharing" TargetMode="External"/><Relationship Id="rId1" Type="http://schemas.openxmlformats.org/officeDocument/2006/relationships/hyperlink" Target="https://docs.google.com/document/d/1QQVp4MpEKhB28qrx3a3Iag5cRzZDnUSb/edit?usp=drive_link&amp;ouid=103533695958335943637&amp;rtpof=true&amp;sd=true" TargetMode="External"/><Relationship Id="rId6" Type="http://schemas.openxmlformats.org/officeDocument/2006/relationships/hyperlink" Target="https://docs.google.com/document/d/1QQVp4MpEKhB28qrx3a3Iag5cRzZDnUSb/edit?usp=drive_link&amp;ouid=103533695958335943637&amp;rtpof=true&amp;sd=true" TargetMode="External"/><Relationship Id="rId11" Type="http://schemas.openxmlformats.org/officeDocument/2006/relationships/hyperlink" Target="https://docs.google.com/document/d/1QQVp4MpEKhB28qrx3a3Iag5cRzZDnUSb/edit?usp=drive_link&amp;ouid=103533695958335943637&amp;rtpof=true&amp;sd=true" TargetMode="External"/><Relationship Id="rId24" Type="http://schemas.openxmlformats.org/officeDocument/2006/relationships/hyperlink" Target="https://docs.google.com/document/d/1SQXwHaX_Xzp_xX40MSrngpTA4fMTUNPkF6oS-FJqIAs/edit?usp=sharing" TargetMode="External"/><Relationship Id="rId5" Type="http://schemas.openxmlformats.org/officeDocument/2006/relationships/hyperlink" Target="https://docs.google.com/document/d/1QQVp4MpEKhB28qrx3a3Iag5cRzZDnUSb/edit?usp=drive_link&amp;ouid=103533695958335943637&amp;rtpof=true&amp;sd=true" TargetMode="External"/><Relationship Id="rId15" Type="http://schemas.openxmlformats.org/officeDocument/2006/relationships/hyperlink" Target="https://docs.google.com/document/d/1QQVp4MpEKhB28qrx3a3Iag5cRzZDnUSb/edit?usp=drive_link&amp;ouid=103533695958335943637&amp;rtpof=true&amp;sd=true" TargetMode="External"/><Relationship Id="rId23" Type="http://schemas.openxmlformats.org/officeDocument/2006/relationships/hyperlink" Target="https://docs.google.com/document/d/1SQXwHaX_Xzp_xX40MSrngpTA4fMTUNPkF6oS-FJqIAs/edit?usp=sharing" TargetMode="External"/><Relationship Id="rId10" Type="http://schemas.openxmlformats.org/officeDocument/2006/relationships/hyperlink" Target="https://docs.google.com/document/d/1QQVp4MpEKhB28qrx3a3Iag5cRzZDnUSb/edit?usp=drive_link&amp;ouid=103533695958335943637&amp;rtpof=true&amp;sd=true" TargetMode="External"/><Relationship Id="rId19" Type="http://schemas.openxmlformats.org/officeDocument/2006/relationships/hyperlink" Target="https://docs.google.com/document/d/1SQXwHaX_Xzp_xX40MSrngpTA4fMTUNPkF6oS-FJqIAs/edit?usp=sharing" TargetMode="External"/><Relationship Id="rId4" Type="http://schemas.openxmlformats.org/officeDocument/2006/relationships/hyperlink" Target="https://docs.google.com/document/d/1QQVp4MpEKhB28qrx3a3Iag5cRzZDnUSb/edit?usp=drive_link&amp;ouid=103533695958335943637&amp;rtpof=true&amp;sd=true" TargetMode="External"/><Relationship Id="rId9" Type="http://schemas.openxmlformats.org/officeDocument/2006/relationships/hyperlink" Target="https://docs.google.com/document/d/1QQVp4MpEKhB28qrx3a3Iag5cRzZDnUSb/edit?usp=drive_link&amp;ouid=103533695958335943637&amp;rtpof=true&amp;sd=true" TargetMode="External"/><Relationship Id="rId14" Type="http://schemas.openxmlformats.org/officeDocument/2006/relationships/hyperlink" Target="https://docs.google.com/document/d/1QQVp4MpEKhB28qrx3a3Iag5cRzZDnUSb/edit?usp=drive_link&amp;ouid=103533695958335943637&amp;rtpof=true&amp;sd=true" TargetMode="External"/><Relationship Id="rId22" Type="http://schemas.openxmlformats.org/officeDocument/2006/relationships/hyperlink" Target="https://docs.google.com/document/d/1SQXwHaX_Xzp_xX40MSrngpTA4fMTUNPkF6oS-FJqIAs/edit?usp=sharing"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cs.google.com/document/d/1qH6x9oWqjPh-aAiX5MJjBOjreEm26viX/edit?usp=drive_link&amp;ouid=103533695958335943637&amp;rtpof=true&amp;sd=true" TargetMode="External"/><Relationship Id="rId13" Type="http://schemas.openxmlformats.org/officeDocument/2006/relationships/hyperlink" Target="https://docs.google.com/document/d/15VpAijLECZGxK01ZqXGzH1EC8zjl3A4hfvqTqfm60es/edit?usp=sharing" TargetMode="External"/><Relationship Id="rId3" Type="http://schemas.openxmlformats.org/officeDocument/2006/relationships/hyperlink" Target="https://docs.google.com/document/d/1qH6x9oWqjPh-aAiX5MJjBOjreEm26viX/edit?usp=drive_link&amp;ouid=103533695958335943637&amp;rtpof=true&amp;sd=true" TargetMode="External"/><Relationship Id="rId7" Type="http://schemas.openxmlformats.org/officeDocument/2006/relationships/hyperlink" Target="https://docs.google.com/document/d/1qH6x9oWqjPh-aAiX5MJjBOjreEm26viX/edit?usp=drive_link&amp;ouid=103533695958335943637&amp;rtpof=true&amp;sd=true" TargetMode="External"/><Relationship Id="rId12" Type="http://schemas.openxmlformats.org/officeDocument/2006/relationships/hyperlink" Target="https://docs.google.com/document/d/15VpAijLECZGxK01ZqXGzH1EC8zjl3A4hfvqTqfm60es/edit?usp=sharing" TargetMode="External"/><Relationship Id="rId2" Type="http://schemas.openxmlformats.org/officeDocument/2006/relationships/hyperlink" Target="https://docs.google.com/document/d/1qH6x9oWqjPh-aAiX5MJjBOjreEm26viX/edit?usp=drive_link&amp;ouid=103533695958335943637&amp;rtpof=true&amp;sd=true" TargetMode="External"/><Relationship Id="rId1" Type="http://schemas.openxmlformats.org/officeDocument/2006/relationships/hyperlink" Target="https://docs.google.com/document/d/1qH6x9oWqjPh-aAiX5MJjBOjreEm26viX/edit?usp=drive_link&amp;ouid=103533695958335943637&amp;rtpof=true&amp;sd=true" TargetMode="External"/><Relationship Id="rId6" Type="http://schemas.openxmlformats.org/officeDocument/2006/relationships/hyperlink" Target="https://docs.google.com/document/d/1qH6x9oWqjPh-aAiX5MJjBOjreEm26viX/edit?usp=drive_link&amp;ouid=103533695958335943637&amp;rtpof=true&amp;sd=true" TargetMode="External"/><Relationship Id="rId11" Type="http://schemas.openxmlformats.org/officeDocument/2006/relationships/hyperlink" Target="https://docs.google.com/document/d/15VpAijLECZGxK01ZqXGzH1EC8zjl3A4hfvqTqfm60es/edit?usp=sharing" TargetMode="External"/><Relationship Id="rId5" Type="http://schemas.openxmlformats.org/officeDocument/2006/relationships/hyperlink" Target="https://docs.google.com/document/d/1qH6x9oWqjPh-aAiX5MJjBOjreEm26viX/edit?usp=drive_link&amp;ouid=103533695958335943637&amp;rtpof=true&amp;sd=true" TargetMode="External"/><Relationship Id="rId15" Type="http://schemas.openxmlformats.org/officeDocument/2006/relationships/drawing" Target="../drawings/drawing2.xml"/><Relationship Id="rId10" Type="http://schemas.openxmlformats.org/officeDocument/2006/relationships/hyperlink" Target="https://docs.google.com/document/d/15VpAijLECZGxK01ZqXGzH1EC8zjl3A4hfvqTqfm60es/edit?usp=sharing" TargetMode="External"/><Relationship Id="rId4" Type="http://schemas.openxmlformats.org/officeDocument/2006/relationships/hyperlink" Target="https://docs.google.com/document/d/1qH6x9oWqjPh-aAiX5MJjBOjreEm26viX/edit?usp=drive_link&amp;ouid=103533695958335943637&amp;rtpof=true&amp;sd=true" TargetMode="External"/><Relationship Id="rId9" Type="http://schemas.openxmlformats.org/officeDocument/2006/relationships/hyperlink" Target="https://docs.google.com/document/d/1qH6x9oWqjPh-aAiX5MJjBOjreEm26viX/edit?usp=drive_link&amp;ouid=103533695958335943637&amp;rtpof=true&amp;sd=true" TargetMode="External"/><Relationship Id="rId14" Type="http://schemas.openxmlformats.org/officeDocument/2006/relationships/hyperlink" Target="https://docs.google.com/document/d/15VpAijLECZGxK01ZqXGzH1EC8zjl3A4hfvqTqfm60es/edit?usp=sharin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cs.google.com/document/d/1hl0t2V7PT7jskb4aEASgx-Sl5PpUlQhuvnkgcBdeIL4/edit?usp=sharing" TargetMode="External"/><Relationship Id="rId13" Type="http://schemas.openxmlformats.org/officeDocument/2006/relationships/drawing" Target="../drawings/drawing3.xml"/><Relationship Id="rId3" Type="http://schemas.openxmlformats.org/officeDocument/2006/relationships/hyperlink" Target="https://docs.google.com/document/d/1_C8d_ZDSL8BJSZhFncwF0chnvJCmjNM0/edit?usp=drive_link&amp;ouid=103533695958335943637&amp;rtpof=true&amp;sd=true" TargetMode="External"/><Relationship Id="rId7" Type="http://schemas.openxmlformats.org/officeDocument/2006/relationships/hyperlink" Target="https://docs.google.com/document/d/1_C8d_ZDSL8BJSZhFncwF0chnvJCmjNM0/edit?usp=drive_link&amp;ouid=103533695958335943637&amp;rtpof=true&amp;sd=true" TargetMode="External"/><Relationship Id="rId12" Type="http://schemas.openxmlformats.org/officeDocument/2006/relationships/hyperlink" Target="https://docs.google.com/document/d/1hl0t2V7PT7jskb4aEASgx-Sl5PpUlQhuvnkgcBdeIL4/edit?usp=sharing" TargetMode="External"/><Relationship Id="rId2" Type="http://schemas.openxmlformats.org/officeDocument/2006/relationships/hyperlink" Target="https://docs.google.com/document/d/1_C8d_ZDSL8BJSZhFncwF0chnvJCmjNM0/edit?usp=drive_link&amp;ouid=103533695958335943637&amp;rtpof=true&amp;sd=true" TargetMode="External"/><Relationship Id="rId1" Type="http://schemas.openxmlformats.org/officeDocument/2006/relationships/hyperlink" Target="https://docs.google.com/document/d/1_C8d_ZDSL8BJSZhFncwF0chnvJCmjNM0/edit?usp=drive_link&amp;ouid=103533695958335943637&amp;rtpof=true&amp;sd=true" TargetMode="External"/><Relationship Id="rId6" Type="http://schemas.openxmlformats.org/officeDocument/2006/relationships/hyperlink" Target="https://docs.google.com/document/d/1_C8d_ZDSL8BJSZhFncwF0chnvJCmjNM0/edit?usp=drive_link&amp;ouid=103533695958335943637&amp;rtpof=true&amp;sd=true" TargetMode="External"/><Relationship Id="rId11" Type="http://schemas.openxmlformats.org/officeDocument/2006/relationships/hyperlink" Target="https://docs.google.com/document/d/1hl0t2V7PT7jskb4aEASgx-Sl5PpUlQhuvnkgcBdeIL4/edit?usp=sharing" TargetMode="External"/><Relationship Id="rId5" Type="http://schemas.openxmlformats.org/officeDocument/2006/relationships/hyperlink" Target="https://docs.google.com/document/d/1_C8d_ZDSL8BJSZhFncwF0chnvJCmjNM0/edit?usp=drive_link&amp;ouid=103533695958335943637&amp;rtpof=true&amp;sd=true" TargetMode="External"/><Relationship Id="rId10" Type="http://schemas.openxmlformats.org/officeDocument/2006/relationships/hyperlink" Target="https://docs.google.com/document/d/1hl0t2V7PT7jskb4aEASgx-Sl5PpUlQhuvnkgcBdeIL4/edit?usp=sharing" TargetMode="External"/><Relationship Id="rId4" Type="http://schemas.openxmlformats.org/officeDocument/2006/relationships/hyperlink" Target="https://docs.google.com/document/d/1_C8d_ZDSL8BJSZhFncwF0chnvJCmjNM0/edit?usp=drive_link&amp;ouid=103533695958335943637&amp;rtpof=true&amp;sd=true" TargetMode="External"/><Relationship Id="rId9" Type="http://schemas.openxmlformats.org/officeDocument/2006/relationships/hyperlink" Target="https://docs.google.com/document/d/1hl0t2V7PT7jskb4aEASgx-Sl5PpUlQhuvnkgcBdeIL4/edit?usp=sharing"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ocs.google.com/document/d/1lCd5vgJqq7ukgfYyY-llmEuB8mjMl-JDrGSE0a6ytIA/edit?usp=sharing" TargetMode="External"/><Relationship Id="rId3" Type="http://schemas.openxmlformats.org/officeDocument/2006/relationships/hyperlink" Target="https://docs.google.com/document/d/1-qbGi9E85ciCa6cZzggyylpTzn9xzpVn/edit?usp=drive_link&amp;ouid=103533695958335943637&amp;rtpof=true&amp;sd=true" TargetMode="External"/><Relationship Id="rId7" Type="http://schemas.openxmlformats.org/officeDocument/2006/relationships/hyperlink" Target="https://docs.google.com/document/d/1lCd5vgJqq7ukgfYyY-llmEuB8mjMl-JDrGSE0a6ytIA/edit?usp=sharing" TargetMode="External"/><Relationship Id="rId12" Type="http://schemas.openxmlformats.org/officeDocument/2006/relationships/drawing" Target="../drawings/drawing4.xml"/><Relationship Id="rId2" Type="http://schemas.openxmlformats.org/officeDocument/2006/relationships/hyperlink" Target="https://docs.google.com/document/d/1-qbGi9E85ciCa6cZzggyylpTzn9xzpVn/edit?usp=drive_link&amp;ouid=103533695958335943637&amp;rtpof=true&amp;sd=true" TargetMode="External"/><Relationship Id="rId1" Type="http://schemas.openxmlformats.org/officeDocument/2006/relationships/hyperlink" Target="https://docs.google.com/document/d/1-qbGi9E85ciCa6cZzggyylpTzn9xzpVn/edit?usp=drive_link&amp;ouid=103533695958335943637&amp;rtpof=true&amp;sd=true" TargetMode="External"/><Relationship Id="rId6" Type="http://schemas.openxmlformats.org/officeDocument/2006/relationships/hyperlink" Target="https://docs.google.com/document/d/1-qbGi9E85ciCa6cZzggyylpTzn9xzpVn/edit?usp=drive_link&amp;ouid=103533695958335943637&amp;rtpof=true&amp;sd=true" TargetMode="External"/><Relationship Id="rId11" Type="http://schemas.openxmlformats.org/officeDocument/2006/relationships/hyperlink" Target="https://docs.google.com/document/d/1lCd5vgJqq7ukgfYyY-llmEuB8mjMl-JDrGSE0a6ytIA/edit?usp=sharing" TargetMode="External"/><Relationship Id="rId5" Type="http://schemas.openxmlformats.org/officeDocument/2006/relationships/hyperlink" Target="https://docs.google.com/document/d/1-qbGi9E85ciCa6cZzggyylpTzn9xzpVn/edit?usp=drive_link&amp;ouid=103533695958335943637&amp;rtpof=true&amp;sd=true" TargetMode="External"/><Relationship Id="rId10" Type="http://schemas.openxmlformats.org/officeDocument/2006/relationships/hyperlink" Target="https://docs.google.com/document/d/1lCd5vgJqq7ukgfYyY-llmEuB8mjMl-JDrGSE0a6ytIA/edit?usp=sharing" TargetMode="External"/><Relationship Id="rId4" Type="http://schemas.openxmlformats.org/officeDocument/2006/relationships/hyperlink" Target="https://docs.google.com/document/d/1-qbGi9E85ciCa6cZzggyylpTzn9xzpVn/edit?usp=drive_link&amp;ouid=103533695958335943637&amp;rtpof=true&amp;sd=true" TargetMode="External"/><Relationship Id="rId9" Type="http://schemas.openxmlformats.org/officeDocument/2006/relationships/hyperlink" Target="https://docs.google.com/document/d/1lCd5vgJqq7ukgfYyY-llmEuB8mjMl-JDrGSE0a6ytIA/edit?usp=sharin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ocs.google.com/document/d/1NfQHTG3vGCu2g09koHiX7udgol7BF719/edit?usp=drive_link&amp;ouid=103533695958335943637&amp;rtpof=true&amp;sd=true" TargetMode="External"/><Relationship Id="rId13" Type="http://schemas.openxmlformats.org/officeDocument/2006/relationships/hyperlink" Target="https://docs.google.com/document/d/1_d9Wal0QnmN5b6Q1atrKLyDSLswsaPjxXk7v2CzAXC4/edit?usp=sharing" TargetMode="External"/><Relationship Id="rId3" Type="http://schemas.openxmlformats.org/officeDocument/2006/relationships/hyperlink" Target="https://docs.google.com/document/d/1NfQHTG3vGCu2g09koHiX7udgol7BF719/edit?usp=drive_link&amp;ouid=103533695958335943637&amp;rtpof=true&amp;sd=true" TargetMode="External"/><Relationship Id="rId7" Type="http://schemas.openxmlformats.org/officeDocument/2006/relationships/hyperlink" Target="https://docs.google.com/document/d/1NfQHTG3vGCu2g09koHiX7udgol7BF719/edit?usp=drive_link&amp;ouid=103533695958335943637&amp;rtpof=true&amp;sd=true" TargetMode="External"/><Relationship Id="rId12" Type="http://schemas.openxmlformats.org/officeDocument/2006/relationships/hyperlink" Target="https://docs.google.com/document/d/1_d9Wal0QnmN5b6Q1atrKLyDSLswsaPjxXk7v2CzAXC4/edit?usp=sharing" TargetMode="External"/><Relationship Id="rId17" Type="http://schemas.openxmlformats.org/officeDocument/2006/relationships/drawing" Target="../drawings/drawing5.xml"/><Relationship Id="rId2" Type="http://schemas.openxmlformats.org/officeDocument/2006/relationships/hyperlink" Target="https://docs.google.com/document/d/1NfQHTG3vGCu2g09koHiX7udgol7BF719/edit?usp=drive_link&amp;ouid=103533695958335943637&amp;rtpof=true&amp;sd=true" TargetMode="External"/><Relationship Id="rId16" Type="http://schemas.openxmlformats.org/officeDocument/2006/relationships/hyperlink" Target="https://docs.google.com/document/d/1_d9Wal0QnmN5b6Q1atrKLyDSLswsaPjxXk7v2CzAXC4/edit?usp=sharing" TargetMode="External"/><Relationship Id="rId1" Type="http://schemas.openxmlformats.org/officeDocument/2006/relationships/hyperlink" Target="https://docs.google.com/document/d/1NfQHTG3vGCu2g09koHiX7udgol7BF719/edit?usp=drive_link&amp;ouid=103533695958335943637&amp;rtpof=true&amp;sd=true" TargetMode="External"/><Relationship Id="rId6" Type="http://schemas.openxmlformats.org/officeDocument/2006/relationships/hyperlink" Target="https://docs.google.com/document/d/1NfQHTG3vGCu2g09koHiX7udgol7BF719/edit?usp=drive_link&amp;ouid=103533695958335943637&amp;rtpof=true&amp;sd=true" TargetMode="External"/><Relationship Id="rId11" Type="http://schemas.openxmlformats.org/officeDocument/2006/relationships/hyperlink" Target="https://docs.google.com/document/d/1_d9Wal0QnmN5b6Q1atrKLyDSLswsaPjxXk7v2CzAXC4/edit?usp=sharing" TargetMode="External"/><Relationship Id="rId5" Type="http://schemas.openxmlformats.org/officeDocument/2006/relationships/hyperlink" Target="https://docs.google.com/document/d/1NfQHTG3vGCu2g09koHiX7udgol7BF719/edit?usp=drive_link&amp;ouid=103533695958335943637&amp;rtpof=true&amp;sd=true" TargetMode="External"/><Relationship Id="rId15" Type="http://schemas.openxmlformats.org/officeDocument/2006/relationships/hyperlink" Target="https://docs.google.com/document/d/1_d9Wal0QnmN5b6Q1atrKLyDSLswsaPjxXk7v2CzAXC4/edit?usp=sharing" TargetMode="External"/><Relationship Id="rId10" Type="http://schemas.openxmlformats.org/officeDocument/2006/relationships/hyperlink" Target="https://docs.google.com/document/d/1NfQHTG3vGCu2g09koHiX7udgol7BF719/edit?usp=drive_link&amp;ouid=103533695958335943637&amp;rtpof=true&amp;sd=true" TargetMode="External"/><Relationship Id="rId4" Type="http://schemas.openxmlformats.org/officeDocument/2006/relationships/hyperlink" Target="https://docs.google.com/document/d/1NfQHTG3vGCu2g09koHiX7udgol7BF719/edit?usp=drive_link&amp;ouid=103533695958335943637&amp;rtpof=true&amp;sd=true" TargetMode="External"/><Relationship Id="rId9" Type="http://schemas.openxmlformats.org/officeDocument/2006/relationships/hyperlink" Target="https://docs.google.com/document/d/1NfQHTG3vGCu2g09koHiX7udgol7BF719/edit?usp=drive_link&amp;ouid=103533695958335943637&amp;rtpof=true&amp;sd=true" TargetMode="External"/><Relationship Id="rId14" Type="http://schemas.openxmlformats.org/officeDocument/2006/relationships/hyperlink" Target="https://docs.google.com/document/d/1_d9Wal0QnmN5b6Q1atrKLyDSLswsaPjxXk7v2CzAXC4/edit?usp=sharing"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ocs.google.com/document/d/1NwRJPCdpVkMNuaTzK5PGHozBMjFkx2n-KY__4NfaMms/edit?usp=sharing" TargetMode="External"/><Relationship Id="rId13" Type="http://schemas.openxmlformats.org/officeDocument/2006/relationships/hyperlink" Target="https://docs.google.com/document/d/1NwRJPCdpVkMNuaTzK5PGHozBMjFkx2n-KY__4NfaMms/edit?usp=sharing" TargetMode="External"/><Relationship Id="rId3" Type="http://schemas.openxmlformats.org/officeDocument/2006/relationships/hyperlink" Target="https://docs.google.com/document/d/1lRqV1zrO9mUMZ58Zv8bgMuRSpJwCJOTD/edit?usp=drive_link&amp;ouid=103533695958335943637&amp;rtpof=true&amp;sd=true" TargetMode="External"/><Relationship Id="rId7" Type="http://schemas.openxmlformats.org/officeDocument/2006/relationships/hyperlink" Target="https://docs.google.com/document/d/1lRqV1zrO9mUMZ58Zv8bgMuRSpJwCJOTD/edit?usp=drive_link&amp;ouid=103533695958335943637&amp;rtpof=true&amp;sd=true" TargetMode="External"/><Relationship Id="rId12" Type="http://schemas.openxmlformats.org/officeDocument/2006/relationships/hyperlink" Target="https://docs.google.com/document/d/1NwRJPCdpVkMNuaTzK5PGHozBMjFkx2n-KY__4NfaMms/edit?usp=sharing" TargetMode="External"/><Relationship Id="rId2" Type="http://schemas.openxmlformats.org/officeDocument/2006/relationships/hyperlink" Target="https://docs.google.com/document/d/1lRqV1zrO9mUMZ58Zv8bgMuRSpJwCJOTD/edit?usp=drive_link&amp;ouid=103533695958335943637&amp;rtpof=true&amp;sd=true" TargetMode="External"/><Relationship Id="rId1" Type="http://schemas.openxmlformats.org/officeDocument/2006/relationships/hyperlink" Target="https://docs.google.com/document/d/1lRqV1zrO9mUMZ58Zv8bgMuRSpJwCJOTD/edit?usp=drive_link&amp;ouid=103533695958335943637&amp;rtpof=true&amp;sd=true" TargetMode="External"/><Relationship Id="rId6" Type="http://schemas.openxmlformats.org/officeDocument/2006/relationships/hyperlink" Target="https://docs.google.com/document/d/1lRqV1zrO9mUMZ58Zv8bgMuRSpJwCJOTD/edit?usp=drive_link&amp;ouid=103533695958335943637&amp;rtpof=true&amp;sd=true" TargetMode="External"/><Relationship Id="rId11" Type="http://schemas.openxmlformats.org/officeDocument/2006/relationships/hyperlink" Target="https://docs.google.com/document/d/1NwRJPCdpVkMNuaTzK5PGHozBMjFkx2n-KY__4NfaMms/edit?usp=sharing" TargetMode="External"/><Relationship Id="rId5" Type="http://schemas.openxmlformats.org/officeDocument/2006/relationships/hyperlink" Target="https://docs.google.com/document/d/1lRqV1zrO9mUMZ58Zv8bgMuRSpJwCJOTD/edit?usp=drive_link&amp;ouid=103533695958335943637&amp;rtpof=true&amp;sd=true" TargetMode="External"/><Relationship Id="rId10" Type="http://schemas.openxmlformats.org/officeDocument/2006/relationships/hyperlink" Target="https://docs.google.com/document/d/1NwRJPCdpVkMNuaTzK5PGHozBMjFkx2n-KY__4NfaMms/edit?usp=sharing" TargetMode="External"/><Relationship Id="rId4" Type="http://schemas.openxmlformats.org/officeDocument/2006/relationships/hyperlink" Target="https://docs.google.com/document/d/1lRqV1zrO9mUMZ58Zv8bgMuRSpJwCJOTD/edit?usp=drive_link&amp;ouid=103533695958335943637&amp;rtpof=true&amp;sd=true" TargetMode="External"/><Relationship Id="rId9" Type="http://schemas.openxmlformats.org/officeDocument/2006/relationships/hyperlink" Target="https://docs.google.com/document/d/1NwRJPCdpVkMNuaTzK5PGHozBMjFkx2n-KY__4NfaMms/edit?usp=sharing" TargetMode="External"/><Relationship Id="rId14"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8" Type="http://schemas.openxmlformats.org/officeDocument/2006/relationships/hyperlink" Target="https://docs.google.com/document/d/1LoCFK9KAQGkJK-mSk28aur47yXyB8hGpGWdyK1M6EVQ/edit?usp=sharing" TargetMode="External"/><Relationship Id="rId3" Type="http://schemas.openxmlformats.org/officeDocument/2006/relationships/hyperlink" Target="https://docs.google.com/document/d/12UGBbx7oETFpF6f8n3GpEMTCk2YpFju2/edit?usp=drive_link&amp;ouid=103533695958335943637&amp;rtpof=true&amp;sd=true" TargetMode="External"/><Relationship Id="rId7" Type="http://schemas.openxmlformats.org/officeDocument/2006/relationships/hyperlink" Target="https://docs.google.com/document/d/12UGBbx7oETFpF6f8n3GpEMTCk2YpFju2/edit?usp=drive_link&amp;ouid=103533695958335943637&amp;rtpof=true&amp;sd=true" TargetMode="External"/><Relationship Id="rId12" Type="http://schemas.openxmlformats.org/officeDocument/2006/relationships/drawing" Target="../drawings/drawing7.xml"/><Relationship Id="rId2" Type="http://schemas.openxmlformats.org/officeDocument/2006/relationships/hyperlink" Target="https://docs.google.com/document/d/12UGBbx7oETFpF6f8n3GpEMTCk2YpFju2/edit?usp=drive_link&amp;ouid=103533695958335943637&amp;rtpof=true&amp;sd=true" TargetMode="External"/><Relationship Id="rId1" Type="http://schemas.openxmlformats.org/officeDocument/2006/relationships/hyperlink" Target="https://docs.google.com/document/d/12UGBbx7oETFpF6f8n3GpEMTCk2YpFju2/edit?usp=drive_link&amp;ouid=103533695958335943637&amp;rtpof=true&amp;sd=true" TargetMode="External"/><Relationship Id="rId6" Type="http://schemas.openxmlformats.org/officeDocument/2006/relationships/hyperlink" Target="https://docs.google.com/document/d/12UGBbx7oETFpF6f8n3GpEMTCk2YpFju2/edit?usp=drive_link&amp;ouid=103533695958335943637&amp;rtpof=true&amp;sd=true" TargetMode="External"/><Relationship Id="rId11" Type="http://schemas.openxmlformats.org/officeDocument/2006/relationships/hyperlink" Target="https://docs.google.com/document/d/1LoCFK9KAQGkJK-mSk28aur47yXyB8hGpGWdyK1M6EVQ/edit?usp=sharing" TargetMode="External"/><Relationship Id="rId5" Type="http://schemas.openxmlformats.org/officeDocument/2006/relationships/hyperlink" Target="https://docs.google.com/document/d/12UGBbx7oETFpF6f8n3GpEMTCk2YpFju2/edit?usp=drive_link&amp;ouid=103533695958335943637&amp;rtpof=true&amp;sd=true" TargetMode="External"/><Relationship Id="rId10" Type="http://schemas.openxmlformats.org/officeDocument/2006/relationships/hyperlink" Target="https://docs.google.com/document/d/1LoCFK9KAQGkJK-mSk28aur47yXyB8hGpGWdyK1M6EVQ/edit?usp=sharing" TargetMode="External"/><Relationship Id="rId4" Type="http://schemas.openxmlformats.org/officeDocument/2006/relationships/hyperlink" Target="https://docs.google.com/document/d/12UGBbx7oETFpF6f8n3GpEMTCk2YpFju2/edit?usp=drive_link&amp;ouid=103533695958335943637&amp;rtpof=true&amp;sd=true" TargetMode="External"/><Relationship Id="rId9" Type="http://schemas.openxmlformats.org/officeDocument/2006/relationships/hyperlink" Target="https://docs.google.com/document/d/1LoCFK9KAQGkJK-mSk28aur47yXyB8hGpGWdyK1M6EVQ/edit?usp=sharing"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ocs.google.com/document/d/1KLsHRr3ur0lgjEq2Y6U3zNTQvLykSxI2FgBesfWb3Yk/edit?usp=sharing" TargetMode="External"/><Relationship Id="rId3" Type="http://schemas.openxmlformats.org/officeDocument/2006/relationships/hyperlink" Target="https://docs.google.com/document/d/1ATvnsXWQaRYnv9AjN803vzqrII0OWsbj/edit?usp=drive_link&amp;ouid=103533695958335943637&amp;rtpof=true&amp;sd=true" TargetMode="External"/><Relationship Id="rId7" Type="http://schemas.openxmlformats.org/officeDocument/2006/relationships/hyperlink" Target="https://docs.google.com/document/d/1KLsHRr3ur0lgjEq2Y6U3zNTQvLykSxI2FgBesfWb3Yk/edit?usp=sharing" TargetMode="External"/><Relationship Id="rId2" Type="http://schemas.openxmlformats.org/officeDocument/2006/relationships/hyperlink" Target="https://docs.google.com/document/d/1ATvnsXWQaRYnv9AjN803vzqrII0OWsbj/edit?usp=drive_link&amp;ouid=103533695958335943637&amp;rtpof=true&amp;sd=true" TargetMode="External"/><Relationship Id="rId1" Type="http://schemas.openxmlformats.org/officeDocument/2006/relationships/hyperlink" Target="https://docs.google.com/document/d/1ATvnsXWQaRYnv9AjN803vzqrII0OWsbj/edit?usp=drive_link&amp;ouid=103533695958335943637&amp;rtpof=true&amp;sd=true" TargetMode="External"/><Relationship Id="rId6" Type="http://schemas.openxmlformats.org/officeDocument/2006/relationships/hyperlink" Target="https://docs.google.com/document/d/1ATvnsXWQaRYnv9AjN803vzqrII0OWsbj/edit?usp=drive_link&amp;ouid=103533695958335943637&amp;rtpof=true&amp;sd=true" TargetMode="External"/><Relationship Id="rId5" Type="http://schemas.openxmlformats.org/officeDocument/2006/relationships/hyperlink" Target="https://docs.google.com/document/d/1ATvnsXWQaRYnv9AjN803vzqrII0OWsbj/edit?usp=drive_link&amp;ouid=103533695958335943637&amp;rtpof=true&amp;sd=true" TargetMode="External"/><Relationship Id="rId10" Type="http://schemas.openxmlformats.org/officeDocument/2006/relationships/drawing" Target="../drawings/drawing8.xml"/><Relationship Id="rId4" Type="http://schemas.openxmlformats.org/officeDocument/2006/relationships/hyperlink" Target="https://docs.google.com/document/d/1ATvnsXWQaRYnv9AjN803vzqrII0OWsbj/edit?usp=drive_link&amp;ouid=103533695958335943637&amp;rtpof=true&amp;sd=true" TargetMode="External"/><Relationship Id="rId9" Type="http://schemas.openxmlformats.org/officeDocument/2006/relationships/hyperlink" Target="https://docs.google.com/document/d/1KLsHRr3ur0lgjEq2Y6U3zNTQvLykSxI2FgBesfWb3Yk/edit?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showGridLines="0" zoomScaleNormal="100" workbookViewId="0"/>
  </sheetViews>
  <sheetFormatPr baseColWidth="10" defaultColWidth="8.6640625" defaultRowHeight="14.4" x14ac:dyDescent="0.3"/>
  <cols>
    <col min="1" max="1" width="34" customWidth="1"/>
    <col min="2" max="2" width="115" customWidth="1"/>
  </cols>
  <sheetData>
    <row r="1" spans="1:2" ht="33.75" customHeight="1" x14ac:dyDescent="0.3">
      <c r="A1" s="48" t="s">
        <v>0</v>
      </c>
      <c r="B1" s="48"/>
    </row>
    <row r="3" spans="1:2" ht="15" customHeight="1" x14ac:dyDescent="0.3">
      <c r="A3" s="41" t="s">
        <v>1</v>
      </c>
      <c r="B3" s="41"/>
    </row>
    <row r="4" spans="1:2" ht="30" customHeight="1" x14ac:dyDescent="0.3">
      <c r="A4" s="4" t="s">
        <v>2</v>
      </c>
      <c r="B4" s="5" t="s">
        <v>3</v>
      </c>
    </row>
    <row r="5" spans="1:2" ht="30" customHeight="1" x14ac:dyDescent="0.3">
      <c r="A5" s="4" t="s">
        <v>4</v>
      </c>
      <c r="B5" s="5" t="s">
        <v>5</v>
      </c>
    </row>
    <row r="6" spans="1:2" ht="18" customHeight="1" x14ac:dyDescent="0.3">
      <c r="A6" s="4" t="s">
        <v>6</v>
      </c>
      <c r="B6" s="5" t="s">
        <v>7</v>
      </c>
    </row>
    <row r="7" spans="1:2" ht="15" customHeight="1" x14ac:dyDescent="0.3">
      <c r="A7" s="41" t="s">
        <v>8</v>
      </c>
      <c r="B7" s="41"/>
    </row>
    <row r="8" spans="1:2" ht="45" customHeight="1" x14ac:dyDescent="0.3">
      <c r="A8" s="4" t="s">
        <v>9</v>
      </c>
      <c r="B8" s="5" t="s">
        <v>10</v>
      </c>
    </row>
    <row r="9" spans="1:2" ht="15" customHeight="1" x14ac:dyDescent="0.3">
      <c r="A9" s="41" t="s">
        <v>11</v>
      </c>
      <c r="B9" s="41"/>
    </row>
    <row r="10" spans="1:2" ht="18" customHeight="1" x14ac:dyDescent="0.3">
      <c r="A10" s="4" t="s">
        <v>12</v>
      </c>
      <c r="B10" s="5" t="s">
        <v>13</v>
      </c>
    </row>
    <row r="11" spans="1:2" ht="18" customHeight="1" x14ac:dyDescent="0.3">
      <c r="A11" s="4" t="s">
        <v>14</v>
      </c>
      <c r="B11" s="5" t="s">
        <v>15</v>
      </c>
    </row>
    <row r="12" spans="1:2" ht="18" customHeight="1" x14ac:dyDescent="0.3">
      <c r="A12" s="4" t="s">
        <v>16</v>
      </c>
      <c r="B12" s="5" t="s">
        <v>17</v>
      </c>
    </row>
    <row r="13" spans="1:2" ht="30" customHeight="1" x14ac:dyDescent="0.3">
      <c r="A13" s="4" t="s">
        <v>18</v>
      </c>
      <c r="B13" s="5" t="s">
        <v>19</v>
      </c>
    </row>
    <row r="14" spans="1:2" ht="30" customHeight="1" x14ac:dyDescent="0.3">
      <c r="A14" s="4" t="s">
        <v>20</v>
      </c>
      <c r="B14" s="5" t="s">
        <v>21</v>
      </c>
    </row>
    <row r="15" spans="1:2" ht="18" customHeight="1" x14ac:dyDescent="0.3">
      <c r="A15" s="4" t="s">
        <v>22</v>
      </c>
      <c r="B15" s="5" t="s">
        <v>23</v>
      </c>
    </row>
    <row r="16" spans="1:2" ht="30" customHeight="1" x14ac:dyDescent="0.3">
      <c r="A16" s="4" t="s">
        <v>24</v>
      </c>
      <c r="B16" s="5" t="s">
        <v>25</v>
      </c>
    </row>
    <row r="17" spans="1:2" ht="15" customHeight="1" x14ac:dyDescent="0.3">
      <c r="A17" s="41" t="s">
        <v>26</v>
      </c>
      <c r="B17" s="41"/>
    </row>
    <row r="18" spans="1:2" ht="30" customHeight="1" x14ac:dyDescent="0.3">
      <c r="A18" s="4" t="s">
        <v>27</v>
      </c>
      <c r="B18" s="5" t="s">
        <v>28</v>
      </c>
    </row>
    <row r="19" spans="1:2" ht="30" customHeight="1" x14ac:dyDescent="0.3">
      <c r="A19" s="4" t="s">
        <v>29</v>
      </c>
      <c r="B19" s="5" t="s">
        <v>30</v>
      </c>
    </row>
    <row r="20" spans="1:2" ht="45" customHeight="1" x14ac:dyDescent="0.3">
      <c r="A20" s="4" t="s">
        <v>31</v>
      </c>
      <c r="B20" s="5" t="s">
        <v>32</v>
      </c>
    </row>
    <row r="21" spans="1:2" ht="15" customHeight="1" x14ac:dyDescent="0.3">
      <c r="A21" s="41" t="s">
        <v>33</v>
      </c>
      <c r="B21" s="41"/>
    </row>
    <row r="22" spans="1:2" ht="18" customHeight="1" x14ac:dyDescent="0.3">
      <c r="A22" s="4" t="s">
        <v>34</v>
      </c>
      <c r="B22" s="5" t="s">
        <v>35</v>
      </c>
    </row>
    <row r="23" spans="1:2" ht="30" customHeight="1" x14ac:dyDescent="0.3">
      <c r="A23" s="4" t="s">
        <v>36</v>
      </c>
      <c r="B23" s="5" t="s">
        <v>37</v>
      </c>
    </row>
    <row r="24" spans="1:2" ht="30" customHeight="1" x14ac:dyDescent="0.3">
      <c r="A24" s="4" t="s">
        <v>38</v>
      </c>
      <c r="B24" s="5" t="s">
        <v>39</v>
      </c>
    </row>
    <row r="25" spans="1:2" ht="31.5" customHeight="1" x14ac:dyDescent="0.3">
      <c r="A25" s="4" t="s">
        <v>40</v>
      </c>
      <c r="B25" s="5" t="s">
        <v>41</v>
      </c>
    </row>
    <row r="26" spans="1:2" ht="30" customHeight="1" x14ac:dyDescent="0.3">
      <c r="A26" s="4" t="s">
        <v>42</v>
      </c>
      <c r="B26" s="5" t="s">
        <v>43</v>
      </c>
    </row>
    <row r="27" spans="1:2" ht="31.5" customHeight="1" x14ac:dyDescent="0.3">
      <c r="A27" s="4" t="s">
        <v>44</v>
      </c>
      <c r="B27" s="5" t="s">
        <v>45</v>
      </c>
    </row>
    <row r="28" spans="1:2" ht="30" customHeight="1" x14ac:dyDescent="0.3">
      <c r="A28" s="4" t="s">
        <v>46</v>
      </c>
      <c r="B28" s="5" t="s">
        <v>47</v>
      </c>
    </row>
    <row r="30" spans="1:2" ht="18" customHeight="1" x14ac:dyDescent="0.3">
      <c r="A30" s="41" t="s">
        <v>48</v>
      </c>
      <c r="B30" s="41"/>
    </row>
    <row r="31" spans="1:2" ht="18.75" customHeight="1" x14ac:dyDescent="0.3">
      <c r="A31" s="4" t="s">
        <v>49</v>
      </c>
      <c r="B31" s="5" t="s">
        <v>50</v>
      </c>
    </row>
    <row r="32" spans="1:2" ht="31.5" customHeight="1" x14ac:dyDescent="0.3">
      <c r="A32" s="4" t="s">
        <v>51</v>
      </c>
      <c r="B32" s="5" t="s">
        <v>52</v>
      </c>
    </row>
    <row r="33" spans="1:2" ht="31.5" customHeight="1" x14ac:dyDescent="0.3">
      <c r="A33" s="4" t="s">
        <v>53</v>
      </c>
      <c r="B33" s="5" t="s">
        <v>54</v>
      </c>
    </row>
    <row r="34" spans="1:2" ht="31.5" customHeight="1" x14ac:dyDescent="0.3">
      <c r="A34" s="4" t="s">
        <v>55</v>
      </c>
      <c r="B34" s="5" t="s">
        <v>56</v>
      </c>
    </row>
    <row r="35" spans="1:2" ht="31.5" customHeight="1" x14ac:dyDescent="0.3">
      <c r="A35" s="4" t="s">
        <v>57</v>
      </c>
      <c r="B35" s="5" t="s">
        <v>58</v>
      </c>
    </row>
    <row r="37" spans="1:2" ht="18" customHeight="1" x14ac:dyDescent="0.3">
      <c r="A37" s="41" t="s">
        <v>59</v>
      </c>
      <c r="B37" s="41"/>
    </row>
    <row r="38" spans="1:2" ht="31.5" customHeight="1" x14ac:dyDescent="0.3">
      <c r="A38" s="4" t="s">
        <v>60</v>
      </c>
      <c r="B38" s="5" t="s">
        <v>61</v>
      </c>
    </row>
    <row r="39" spans="1:2" ht="31.5" customHeight="1" x14ac:dyDescent="0.3">
      <c r="A39" s="4" t="s">
        <v>62</v>
      </c>
      <c r="B39" s="5" t="s">
        <v>63</v>
      </c>
    </row>
    <row r="40" spans="1:2" ht="31.5" customHeight="1" x14ac:dyDescent="0.3">
      <c r="A40" s="4" t="s">
        <v>64</v>
      </c>
      <c r="B40" s="5" t="s">
        <v>65</v>
      </c>
    </row>
    <row r="41" spans="1:2" ht="31.5" customHeight="1" x14ac:dyDescent="0.3">
      <c r="A41" s="4" t="s">
        <v>66</v>
      </c>
      <c r="B41" s="5" t="s">
        <v>67</v>
      </c>
    </row>
    <row r="43" spans="1:2" ht="18" customHeight="1" x14ac:dyDescent="0.3">
      <c r="A43" s="41" t="s">
        <v>68</v>
      </c>
      <c r="B43" s="41"/>
    </row>
    <row r="44" spans="1:2" ht="18.75" customHeight="1" x14ac:dyDescent="0.3">
      <c r="A44" s="4" t="s">
        <v>69</v>
      </c>
      <c r="B44" s="5" t="s">
        <v>70</v>
      </c>
    </row>
    <row r="45" spans="1:2" ht="18.75" customHeight="1" x14ac:dyDescent="0.3">
      <c r="A45" s="4" t="s">
        <v>71</v>
      </c>
      <c r="B45" s="5" t="s">
        <v>72</v>
      </c>
    </row>
    <row r="46" spans="1:2" ht="18.75" customHeight="1" x14ac:dyDescent="0.3">
      <c r="A46" s="4" t="s">
        <v>73</v>
      </c>
      <c r="B46" s="5" t="s">
        <v>74</v>
      </c>
    </row>
    <row r="47" spans="1:2" ht="31.5" customHeight="1" x14ac:dyDescent="0.3">
      <c r="A47" s="4" t="s">
        <v>75</v>
      </c>
      <c r="B47" s="5" t="s">
        <v>76</v>
      </c>
    </row>
  </sheetData>
  <mergeCells count="9">
    <mergeCell ref="A21:B21"/>
    <mergeCell ref="A30:B30"/>
    <mergeCell ref="A37:B37"/>
    <mergeCell ref="A43:B43"/>
    <mergeCell ref="A1:B1"/>
    <mergeCell ref="A3:B3"/>
    <mergeCell ref="A7:B7"/>
    <mergeCell ref="A9:B9"/>
    <mergeCell ref="A17:B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4"/>
  <sheetViews>
    <sheetView showGridLines="0" tabSelected="1" zoomScale="70" zoomScaleNormal="70" workbookViewId="0">
      <pane ySplit="4" topLeftCell="A5" activePane="bottomLeft" state="frozen"/>
      <selection pane="bottomLeft" activeCell="T12" sqref="T12"/>
    </sheetView>
  </sheetViews>
  <sheetFormatPr baseColWidth="10" defaultColWidth="8.6640625" defaultRowHeight="14.4" x14ac:dyDescent="0.3"/>
  <cols>
    <col min="1" max="1" width="12" customWidth="1"/>
    <col min="2" max="2" width="38" customWidth="1"/>
    <col min="3" max="3" width="14" customWidth="1"/>
    <col min="4" max="9" width="12" customWidth="1"/>
    <col min="10" max="10" width="14" customWidth="1"/>
    <col min="11" max="11" width="22" customWidth="1"/>
    <col min="12" max="12" width="16" customWidth="1"/>
  </cols>
  <sheetData>
    <row r="1" spans="1:20" ht="33.75" customHeight="1" x14ac:dyDescent="0.3">
      <c r="A1" s="48" t="s">
        <v>77</v>
      </c>
      <c r="B1" s="48"/>
      <c r="C1" s="48"/>
      <c r="D1" s="48"/>
      <c r="E1" s="48"/>
      <c r="F1" s="48"/>
      <c r="G1" s="48"/>
      <c r="H1" s="48"/>
      <c r="I1" s="48"/>
      <c r="J1" s="48"/>
      <c r="K1" s="48"/>
    </row>
    <row r="2" spans="1:20" ht="30" customHeight="1" x14ac:dyDescent="0.3">
      <c r="A2" s="52"/>
      <c r="B2" s="52"/>
      <c r="C2" s="52"/>
      <c r="D2" s="52"/>
      <c r="E2" s="52"/>
      <c r="F2" s="52"/>
      <c r="G2" s="52"/>
      <c r="H2" s="52"/>
      <c r="I2" s="52"/>
      <c r="J2" s="52"/>
      <c r="K2" s="52"/>
    </row>
    <row r="4" spans="1:20" ht="36" customHeight="1" x14ac:dyDescent="0.3">
      <c r="A4" s="6" t="s">
        <v>78</v>
      </c>
      <c r="B4" s="6" t="s">
        <v>79</v>
      </c>
      <c r="C4" s="6" t="s">
        <v>80</v>
      </c>
      <c r="D4" s="6" t="s">
        <v>81</v>
      </c>
      <c r="E4" s="6" t="s">
        <v>82</v>
      </c>
      <c r="F4" s="6" t="s">
        <v>83</v>
      </c>
      <c r="G4" s="6" t="s">
        <v>84</v>
      </c>
      <c r="H4" s="6" t="s">
        <v>85</v>
      </c>
      <c r="I4" s="6" t="s">
        <v>86</v>
      </c>
      <c r="J4" s="6" t="s">
        <v>87</v>
      </c>
      <c r="K4" s="6" t="s">
        <v>88</v>
      </c>
    </row>
    <row r="5" spans="1:20" ht="15" customHeight="1" x14ac:dyDescent="0.3">
      <c r="A5" s="7" t="s">
        <v>89</v>
      </c>
      <c r="B5" s="5" t="s">
        <v>90</v>
      </c>
      <c r="C5" s="7" t="s">
        <v>91</v>
      </c>
      <c r="D5" s="8">
        <f>'E1-HU1'!F5</f>
        <v>25</v>
      </c>
      <c r="E5" s="8">
        <f>'E1-HU1'!F12</f>
        <v>4</v>
      </c>
      <c r="F5" s="8">
        <f>'E1-HU1'!F13</f>
        <v>21</v>
      </c>
      <c r="G5" s="8">
        <f>'E1-HU1'!F6</f>
        <v>25</v>
      </c>
      <c r="H5" s="8">
        <f>'E1-HU1'!F7</f>
        <v>23</v>
      </c>
      <c r="I5" s="8">
        <f>'E1-HU1'!F8</f>
        <v>2</v>
      </c>
      <c r="J5" s="8">
        <f>'E1-HU1'!F11</f>
        <v>0</v>
      </c>
      <c r="K5" s="7" t="str">
        <f t="shared" ref="K5:K12" si="0">IF(AND(E5&gt;=2,F5&gt;=1),"Sí cumple","NO cumple")</f>
        <v>Sí cumple</v>
      </c>
    </row>
    <row r="6" spans="1:20" ht="15" customHeight="1" x14ac:dyDescent="0.3">
      <c r="A6" s="7" t="s">
        <v>92</v>
      </c>
      <c r="B6" s="5" t="s">
        <v>93</v>
      </c>
      <c r="C6" s="7" t="s">
        <v>91</v>
      </c>
      <c r="D6" s="8">
        <f>'E1-HU2'!F5</f>
        <v>14</v>
      </c>
      <c r="E6" s="8">
        <f>'E1-HU2'!F12</f>
        <v>4</v>
      </c>
      <c r="F6" s="8">
        <f>'E1-HU2'!F13</f>
        <v>10</v>
      </c>
      <c r="G6" s="8">
        <f>'E1-HU2'!F6</f>
        <v>14</v>
      </c>
      <c r="H6" s="8">
        <f>'E1-HU2'!F7</f>
        <v>14</v>
      </c>
      <c r="I6" s="8">
        <f>'E1-HU2'!F8</f>
        <v>0</v>
      </c>
      <c r="J6" s="8">
        <f>'E1-HU2'!F11</f>
        <v>0</v>
      </c>
      <c r="K6" s="7" t="str">
        <f t="shared" si="0"/>
        <v>Sí cumple</v>
      </c>
    </row>
    <row r="7" spans="1:20" ht="15" customHeight="1" x14ac:dyDescent="0.3">
      <c r="A7" s="7" t="s">
        <v>94</v>
      </c>
      <c r="B7" s="5" t="s">
        <v>95</v>
      </c>
      <c r="C7" s="7" t="s">
        <v>91</v>
      </c>
      <c r="D7" s="8">
        <f>'E1-HU3'!F5</f>
        <v>12</v>
      </c>
      <c r="E7" s="8">
        <f>'E1-HU3'!F12</f>
        <v>4</v>
      </c>
      <c r="F7" s="8">
        <f>'E1-HU3'!F13</f>
        <v>8</v>
      </c>
      <c r="G7" s="8">
        <f>'E1-HU3'!F6</f>
        <v>12</v>
      </c>
      <c r="H7" s="8">
        <f>'E1-HU3'!F7</f>
        <v>11</v>
      </c>
      <c r="I7" s="8">
        <f>'E1-HU3'!F8</f>
        <v>1</v>
      </c>
      <c r="J7" s="8">
        <f>'E1-HU3'!F11</f>
        <v>0</v>
      </c>
      <c r="K7" s="7" t="str">
        <f t="shared" si="0"/>
        <v>Sí cumple</v>
      </c>
    </row>
    <row r="8" spans="1:20" ht="15" customHeight="1" x14ac:dyDescent="0.3">
      <c r="A8" s="7" t="s">
        <v>96</v>
      </c>
      <c r="B8" s="5" t="s">
        <v>97</v>
      </c>
      <c r="C8" s="7" t="s">
        <v>91</v>
      </c>
      <c r="D8" s="8">
        <f>'E1-HU4'!F5</f>
        <v>11</v>
      </c>
      <c r="E8" s="8">
        <f>'E1-HU4'!F12</f>
        <v>5</v>
      </c>
      <c r="F8" s="8">
        <f>'E1-HU4'!F13</f>
        <v>6</v>
      </c>
      <c r="G8" s="8">
        <f>'E1-HU4'!F6</f>
        <v>11</v>
      </c>
      <c r="H8" s="8">
        <f>'E1-HU4'!F7</f>
        <v>11</v>
      </c>
      <c r="I8" s="8">
        <f>'E1-HU4'!F8</f>
        <v>0</v>
      </c>
      <c r="J8" s="8">
        <f>'E1-HU4'!F11</f>
        <v>0</v>
      </c>
      <c r="K8" s="7" t="str">
        <f t="shared" si="0"/>
        <v>Sí cumple</v>
      </c>
    </row>
    <row r="9" spans="1:20" ht="15" customHeight="1" x14ac:dyDescent="0.3">
      <c r="A9" s="7" t="s">
        <v>98</v>
      </c>
      <c r="B9" s="5" t="s">
        <v>99</v>
      </c>
      <c r="C9" s="7" t="s">
        <v>100</v>
      </c>
      <c r="D9" s="8">
        <f>'E2-HU1'!F5</f>
        <v>16</v>
      </c>
      <c r="E9" s="8">
        <f>'E2-HU1'!F12</f>
        <v>3</v>
      </c>
      <c r="F9" s="8">
        <f>'E2-HU1'!F13</f>
        <v>13</v>
      </c>
      <c r="G9" s="8">
        <f>'E2-HU1'!F6</f>
        <v>16</v>
      </c>
      <c r="H9" s="8">
        <f>'E2-HU1'!F7</f>
        <v>15</v>
      </c>
      <c r="I9" s="8">
        <f>'E2-HU1'!F8</f>
        <v>1</v>
      </c>
      <c r="J9" s="8">
        <f>'E2-HU1'!F11</f>
        <v>0</v>
      </c>
      <c r="K9" s="7" t="str">
        <f t="shared" si="0"/>
        <v>Sí cumple</v>
      </c>
    </row>
    <row r="10" spans="1:20" ht="15" customHeight="1" x14ac:dyDescent="0.3">
      <c r="A10" s="7" t="s">
        <v>101</v>
      </c>
      <c r="B10" s="5" t="s">
        <v>102</v>
      </c>
      <c r="C10" s="7" t="s">
        <v>100</v>
      </c>
      <c r="D10" s="8">
        <f>'E2-HU2'!F5</f>
        <v>13</v>
      </c>
      <c r="E10" s="8">
        <f>'E2-HU2'!F12</f>
        <v>3</v>
      </c>
      <c r="F10" s="8">
        <f>'E2-HU2'!F13</f>
        <v>10</v>
      </c>
      <c r="G10" s="8">
        <f>'E2-HU2'!F6</f>
        <v>13</v>
      </c>
      <c r="H10" s="8">
        <f>'E2-HU2'!F7</f>
        <v>9</v>
      </c>
      <c r="I10" s="8">
        <f>'E2-HU2'!F8</f>
        <v>4</v>
      </c>
      <c r="J10" s="8">
        <f>'E2-HU2'!F11</f>
        <v>0</v>
      </c>
      <c r="K10" s="7" t="str">
        <f t="shared" si="0"/>
        <v>Sí cumple</v>
      </c>
    </row>
    <row r="11" spans="1:20" ht="15" customHeight="1" x14ac:dyDescent="0.3">
      <c r="A11" s="7" t="s">
        <v>103</v>
      </c>
      <c r="B11" s="5" t="s">
        <v>104</v>
      </c>
      <c r="C11" s="7" t="s">
        <v>100</v>
      </c>
      <c r="D11" s="8">
        <f>'E2-HU3'!F5</f>
        <v>11</v>
      </c>
      <c r="E11" s="8">
        <f>'E2-HU3'!F12</f>
        <v>4</v>
      </c>
      <c r="F11" s="8">
        <f>'E2-HU3'!F13</f>
        <v>7</v>
      </c>
      <c r="G11" s="8">
        <f>'E2-HU3'!F6</f>
        <v>11</v>
      </c>
      <c r="H11" s="8">
        <f>'E2-HU3'!F7</f>
        <v>10</v>
      </c>
      <c r="I11" s="8">
        <f>'E2-HU3'!F8</f>
        <v>1</v>
      </c>
      <c r="J11" s="8">
        <f>'E2-HU3'!F11</f>
        <v>0</v>
      </c>
      <c r="K11" s="7" t="str">
        <f t="shared" si="0"/>
        <v>Sí cumple</v>
      </c>
    </row>
    <row r="12" spans="1:20" ht="15" customHeight="1" x14ac:dyDescent="0.3">
      <c r="A12" s="7" t="s">
        <v>105</v>
      </c>
      <c r="B12" s="5" t="s">
        <v>106</v>
      </c>
      <c r="C12" s="7" t="s">
        <v>100</v>
      </c>
      <c r="D12" s="8">
        <f>'E2-HU4'!F5</f>
        <v>9</v>
      </c>
      <c r="E12" s="8">
        <f>'E2-HU4'!F12</f>
        <v>4</v>
      </c>
      <c r="F12" s="8">
        <f>'E2-HU4'!F13</f>
        <v>5</v>
      </c>
      <c r="G12" s="8">
        <f>'E2-HU4'!F6</f>
        <v>8</v>
      </c>
      <c r="H12" s="8">
        <f>'E2-HU4'!F7</f>
        <v>7</v>
      </c>
      <c r="I12" s="8">
        <f>'E2-HU4'!F8</f>
        <v>1</v>
      </c>
      <c r="J12" s="8">
        <f>'E2-HU4'!F11</f>
        <v>1</v>
      </c>
      <c r="K12" s="7" t="str">
        <f t="shared" si="0"/>
        <v>Sí cumple</v>
      </c>
      <c r="T12" s="27"/>
    </row>
    <row r="13" spans="1:20" ht="15" customHeight="1" x14ac:dyDescent="0.3">
      <c r="A13" s="9" t="s">
        <v>107</v>
      </c>
      <c r="B13" s="9"/>
      <c r="C13" s="10"/>
      <c r="D13" s="11">
        <f t="shared" ref="D13:J13" si="1">SUM(D5:D12)</f>
        <v>111</v>
      </c>
      <c r="E13" s="11">
        <f t="shared" si="1"/>
        <v>31</v>
      </c>
      <c r="F13" s="11">
        <f t="shared" si="1"/>
        <v>80</v>
      </c>
      <c r="G13" s="11">
        <f t="shared" si="1"/>
        <v>110</v>
      </c>
      <c r="H13" s="11">
        <f t="shared" si="1"/>
        <v>100</v>
      </c>
      <c r="I13" s="11">
        <f t="shared" si="1"/>
        <v>10</v>
      </c>
      <c r="J13" s="11">
        <f t="shared" si="1"/>
        <v>1</v>
      </c>
      <c r="K13" s="12" t="str">
        <f>COUNTIF(K5:K12,"Sí cumple")&amp;" de 8 cumplen"</f>
        <v>8 de 8 cumplen</v>
      </c>
    </row>
    <row r="15" spans="1:20" ht="15" customHeight="1" x14ac:dyDescent="0.3">
      <c r="A15" s="1"/>
    </row>
    <row r="17" spans="1:12" ht="14.25" customHeight="1" x14ac:dyDescent="0.3">
      <c r="A17" s="53" t="s">
        <v>108</v>
      </c>
      <c r="B17" s="53"/>
      <c r="C17" s="53"/>
      <c r="D17" s="53"/>
      <c r="E17" s="53"/>
      <c r="F17" s="53"/>
      <c r="G17" s="53"/>
      <c r="H17" s="53"/>
      <c r="I17" s="53"/>
      <c r="J17" s="53"/>
      <c r="K17" s="53"/>
      <c r="L17" s="53"/>
    </row>
    <row r="18" spans="1:12" ht="48" customHeight="1" x14ac:dyDescent="0.3">
      <c r="A18" s="3" t="s">
        <v>78</v>
      </c>
      <c r="B18" s="3" t="s">
        <v>79</v>
      </c>
      <c r="C18" s="3" t="s">
        <v>109</v>
      </c>
      <c r="D18" s="3" t="s">
        <v>110</v>
      </c>
      <c r="E18" s="3" t="s">
        <v>111</v>
      </c>
      <c r="F18" s="3" t="s">
        <v>112</v>
      </c>
      <c r="G18" s="3" t="s">
        <v>113</v>
      </c>
      <c r="H18" s="3" t="s">
        <v>114</v>
      </c>
      <c r="I18" s="3" t="s">
        <v>115</v>
      </c>
      <c r="J18" s="3" t="s">
        <v>116</v>
      </c>
      <c r="K18" s="3" t="s">
        <v>117</v>
      </c>
      <c r="L18" s="3" t="s">
        <v>118</v>
      </c>
    </row>
    <row r="19" spans="1:12" x14ac:dyDescent="0.3">
      <c r="A19" s="13" t="str">
        <f t="shared" ref="A19:B26" si="2">A5</f>
        <v>E1-HU1</v>
      </c>
      <c r="B19" s="2" t="str">
        <f t="shared" si="2"/>
        <v>Registrar usuarios</v>
      </c>
      <c r="C19" s="14">
        <f t="shared" ref="C19:C27" si="3">IF(D5=0,"Sin CP",G5/D5)</f>
        <v>1</v>
      </c>
      <c r="D19" s="14">
        <f t="shared" ref="D19:D27" si="4">IF(G5=0,"Sin ejecutados",H5/G5)</f>
        <v>0.92</v>
      </c>
      <c r="E19" s="14">
        <f t="shared" ref="E19:E27" si="5">IF(G5=0,"Sin ejecutados",I5/G5)</f>
        <v>0.08</v>
      </c>
      <c r="F19" s="15">
        <f>'E1-HU1'!F14</f>
        <v>1</v>
      </c>
      <c r="G19" s="15">
        <f>'E1-HU1'!F15</f>
        <v>1</v>
      </c>
      <c r="H19" s="15">
        <f>'E1-HU1'!F16</f>
        <v>0</v>
      </c>
      <c r="I19" s="15">
        <f t="shared" ref="I19:I26" si="6">I5-SUM(F19:H19)</f>
        <v>0</v>
      </c>
      <c r="J19" s="15">
        <f>SUMPRODUCT(--(LEFT('E1-HU1'!I19:I163,13)="[CP adicional"))</f>
        <v>12</v>
      </c>
      <c r="K19" s="15">
        <f>COUNTIFS('E1-HU1'!F19:F163,"OK",'E1-HU1'!G19:G163,"")+COUNTIFS('E1-HU1'!F19:F163,"NOK",'E1-HU1'!G19:G163,"")</f>
        <v>0</v>
      </c>
      <c r="L19" s="13" t="str">
        <f t="shared" ref="L19:L27" si="7">IF(E5+F5=D5,"Coincide","Revisar")</f>
        <v>Coincide</v>
      </c>
    </row>
    <row r="20" spans="1:12" x14ac:dyDescent="0.3">
      <c r="A20" s="13" t="str">
        <f t="shared" si="2"/>
        <v>E1-HU2</v>
      </c>
      <c r="B20" s="2" t="str">
        <f t="shared" si="2"/>
        <v>Actualizar información de usuarios</v>
      </c>
      <c r="C20" s="14">
        <f t="shared" si="3"/>
        <v>1</v>
      </c>
      <c r="D20" s="14">
        <f t="shared" si="4"/>
        <v>1</v>
      </c>
      <c r="E20" s="14">
        <f t="shared" si="5"/>
        <v>0</v>
      </c>
      <c r="F20" s="15">
        <f>'E1-HU2'!F14</f>
        <v>0</v>
      </c>
      <c r="G20" s="15">
        <f>'E1-HU2'!F15</f>
        <v>0</v>
      </c>
      <c r="H20" s="15">
        <f>'E1-HU2'!F16</f>
        <v>0</v>
      </c>
      <c r="I20" s="15">
        <f t="shared" si="6"/>
        <v>0</v>
      </c>
      <c r="J20" s="15">
        <f>SUMPRODUCT(--(LEFT('E1-HU2'!I19:I89,13)="[CP adicional"))</f>
        <v>7</v>
      </c>
      <c r="K20" s="15">
        <f>COUNTIFS('E1-HU2'!F19:F89,"OK",'E1-HU2'!G19:G89,"")+COUNTIFS('E1-HU2'!F19:F89,"NOK",'E1-HU2'!G19:G89,"")</f>
        <v>0</v>
      </c>
      <c r="L20" s="13" t="str">
        <f t="shared" si="7"/>
        <v>Coincide</v>
      </c>
    </row>
    <row r="21" spans="1:12" x14ac:dyDescent="0.3">
      <c r="A21" s="13" t="str">
        <f t="shared" si="2"/>
        <v>E1-HU3</v>
      </c>
      <c r="B21" s="2" t="str">
        <f t="shared" si="2"/>
        <v>Consultar información de usuarios</v>
      </c>
      <c r="C21" s="14">
        <f t="shared" si="3"/>
        <v>1</v>
      </c>
      <c r="D21" s="14">
        <f t="shared" si="4"/>
        <v>0.91666666666666663</v>
      </c>
      <c r="E21" s="14">
        <f t="shared" si="5"/>
        <v>8.3333333333333329E-2</v>
      </c>
      <c r="F21" s="15">
        <f>'E1-HU3'!F14</f>
        <v>1</v>
      </c>
      <c r="G21" s="15">
        <f>'E1-HU3'!F15</f>
        <v>0</v>
      </c>
      <c r="H21" s="15">
        <f>'E1-HU3'!F16</f>
        <v>0</v>
      </c>
      <c r="I21" s="15">
        <f t="shared" si="6"/>
        <v>0</v>
      </c>
      <c r="J21" s="15">
        <f>SUMPRODUCT(--(LEFT('E1-HU3'!I19:I44,13)="[CP adicional"))</f>
        <v>5</v>
      </c>
      <c r="K21" s="15">
        <f>COUNTIFS('E1-HU3'!F19:F44,"OK",'E1-HU3'!G19:G44,"")+COUNTIFS('E1-HU3'!F19:F44,"NOK",'E1-HU3'!G19:G44,"")</f>
        <v>0</v>
      </c>
      <c r="L21" s="13" t="str">
        <f t="shared" si="7"/>
        <v>Coincide</v>
      </c>
    </row>
    <row r="22" spans="1:12" x14ac:dyDescent="0.3">
      <c r="A22" s="13" t="str">
        <f t="shared" si="2"/>
        <v>E1-HU4</v>
      </c>
      <c r="B22" s="2" t="str">
        <f t="shared" si="2"/>
        <v>Gestionar estado de usuarios</v>
      </c>
      <c r="C22" s="14">
        <f t="shared" si="3"/>
        <v>1</v>
      </c>
      <c r="D22" s="14">
        <f t="shared" si="4"/>
        <v>1</v>
      </c>
      <c r="E22" s="14">
        <f t="shared" si="5"/>
        <v>0</v>
      </c>
      <c r="F22" s="15">
        <f>'E1-HU4'!F14</f>
        <v>0</v>
      </c>
      <c r="G22" s="15">
        <f>'E1-HU4'!F15</f>
        <v>0</v>
      </c>
      <c r="H22" s="15">
        <f>'E1-HU4'!F16</f>
        <v>0</v>
      </c>
      <c r="I22" s="15">
        <f t="shared" si="6"/>
        <v>0</v>
      </c>
      <c r="J22" s="15">
        <f>SUMPRODUCT(--(LEFT('E1-HU4'!I19:I52,13)="[CP adicional"))</f>
        <v>6</v>
      </c>
      <c r="K22" s="15">
        <f>COUNTIFS('E1-HU4'!F19:F52,"OK",'E1-HU4'!G19:G52,"")+COUNTIFS('E1-HU4'!F19:F52,"NOK",'E1-HU4'!G19:G52,"")</f>
        <v>0</v>
      </c>
      <c r="L22" s="13" t="str">
        <f t="shared" si="7"/>
        <v>Coincide</v>
      </c>
    </row>
    <row r="23" spans="1:12" x14ac:dyDescent="0.3">
      <c r="A23" s="13" t="str">
        <f t="shared" si="2"/>
        <v>E2-HU1</v>
      </c>
      <c r="B23" s="2" t="str">
        <f t="shared" si="2"/>
        <v>Crear rutina de entrenamiento</v>
      </c>
      <c r="C23" s="14">
        <f t="shared" si="3"/>
        <v>1</v>
      </c>
      <c r="D23" s="14">
        <f t="shared" si="4"/>
        <v>0.9375</v>
      </c>
      <c r="E23" s="14">
        <f t="shared" si="5"/>
        <v>6.25E-2</v>
      </c>
      <c r="F23" s="15">
        <f>'E2-HU1'!F14</f>
        <v>0</v>
      </c>
      <c r="G23" s="15">
        <f>'E2-HU1'!F15</f>
        <v>1</v>
      </c>
      <c r="H23" s="15">
        <f>'E2-HU1'!F16</f>
        <v>0</v>
      </c>
      <c r="I23" s="15">
        <f t="shared" si="6"/>
        <v>0</v>
      </c>
      <c r="J23" s="15">
        <f>SUMPRODUCT(--(LEFT('E2-HU1'!I19:I66,13)="[CP adicional"))</f>
        <v>8</v>
      </c>
      <c r="K23" s="15">
        <f>COUNTIFS('E2-HU1'!F19:F66,"OK",'E2-HU1'!G19:G66,"")+COUNTIFS('E2-HU1'!F19:F66,"NOK",'E2-HU1'!G19:G66,"")</f>
        <v>0</v>
      </c>
      <c r="L23" s="13" t="str">
        <f t="shared" si="7"/>
        <v>Coincide</v>
      </c>
    </row>
    <row r="24" spans="1:12" x14ac:dyDescent="0.3">
      <c r="A24" s="13" t="str">
        <f t="shared" si="2"/>
        <v>E2-HU2</v>
      </c>
      <c r="B24" s="2" t="str">
        <f t="shared" si="2"/>
        <v>Asignar rutina a usuario</v>
      </c>
      <c r="C24" s="14">
        <f t="shared" si="3"/>
        <v>1</v>
      </c>
      <c r="D24" s="14">
        <f t="shared" si="4"/>
        <v>0.69230769230769229</v>
      </c>
      <c r="E24" s="14">
        <f t="shared" si="5"/>
        <v>0.30769230769230771</v>
      </c>
      <c r="F24" s="15">
        <f>'E2-HU2'!F14</f>
        <v>3</v>
      </c>
      <c r="G24" s="15">
        <f>'E2-HU2'!F15</f>
        <v>1</v>
      </c>
      <c r="H24" s="15">
        <f>'E2-HU2'!F16</f>
        <v>0</v>
      </c>
      <c r="I24" s="15">
        <f t="shared" si="6"/>
        <v>0</v>
      </c>
      <c r="J24" s="15">
        <f>SUMPRODUCT(--(LEFT('E2-HU2'!I19:I60,13)="[CP adicional"))</f>
        <v>7</v>
      </c>
      <c r="K24" s="15">
        <f>COUNTIFS('E2-HU2'!F19:F60,"OK",'E2-HU2'!G19:G60,"")+COUNTIFS('E2-HU2'!F19:F60,"NOK",'E2-HU2'!G19:G60,"")</f>
        <v>0</v>
      </c>
      <c r="L24" s="13" t="str">
        <f t="shared" si="7"/>
        <v>Coincide</v>
      </c>
    </row>
    <row r="25" spans="1:12" x14ac:dyDescent="0.3">
      <c r="A25" s="13" t="str">
        <f t="shared" si="2"/>
        <v>E2-HU3</v>
      </c>
      <c r="B25" s="2" t="str">
        <f t="shared" si="2"/>
        <v>Modificar rutina de entrenamiento</v>
      </c>
      <c r="C25" s="14">
        <f t="shared" si="3"/>
        <v>1</v>
      </c>
      <c r="D25" s="14">
        <f t="shared" si="4"/>
        <v>0.90909090909090906</v>
      </c>
      <c r="E25" s="14">
        <f t="shared" si="5"/>
        <v>9.0909090909090912E-2</v>
      </c>
      <c r="F25" s="15">
        <f>'E2-HU3'!F14</f>
        <v>0</v>
      </c>
      <c r="G25" s="15">
        <f>'E2-HU3'!F15</f>
        <v>1</v>
      </c>
      <c r="H25" s="15">
        <f>'E2-HU3'!F16</f>
        <v>0</v>
      </c>
      <c r="I25" s="15">
        <f t="shared" si="6"/>
        <v>0</v>
      </c>
      <c r="J25" s="15">
        <f>SUMPRODUCT(--(LEFT('E2-HU3'!I19:I56,13)="[CP adicional"))</f>
        <v>4</v>
      </c>
      <c r="K25" s="15">
        <f>COUNTIFS('E2-HU3'!F19:F56,"OK",'E2-HU3'!G19:G56,"")+COUNTIFS('E2-HU3'!F19:F56,"NOK",'E2-HU3'!G19:G56,"")</f>
        <v>0</v>
      </c>
      <c r="L25" s="13" t="str">
        <f t="shared" si="7"/>
        <v>Coincide</v>
      </c>
    </row>
    <row r="26" spans="1:12" x14ac:dyDescent="0.3">
      <c r="A26" s="13" t="str">
        <f t="shared" si="2"/>
        <v>E2-HU4</v>
      </c>
      <c r="B26" s="2" t="str">
        <f t="shared" si="2"/>
        <v>Consultar rutina asignada</v>
      </c>
      <c r="C26" s="14">
        <f t="shared" si="3"/>
        <v>0.88888888888888884</v>
      </c>
      <c r="D26" s="14">
        <f t="shared" si="4"/>
        <v>0.875</v>
      </c>
      <c r="E26" s="14">
        <f t="shared" si="5"/>
        <v>0.125</v>
      </c>
      <c r="F26" s="15">
        <f>'E2-HU4'!F14</f>
        <v>1</v>
      </c>
      <c r="G26" s="15">
        <f>'E2-HU4'!F15</f>
        <v>0</v>
      </c>
      <c r="H26" s="15">
        <f>'E2-HU4'!F16</f>
        <v>0</v>
      </c>
      <c r="I26" s="15">
        <f t="shared" si="6"/>
        <v>0</v>
      </c>
      <c r="J26" s="15">
        <f>SUMPRODUCT(--(LEFT('E2-HU4'!I19:I51,13)="[CP adicional"))</f>
        <v>3</v>
      </c>
      <c r="K26" s="15">
        <f>COUNTIFS('E2-HU4'!F19:F51,"OK",'E2-HU4'!G19:G51,"")+COUNTIFS('E2-HU4'!F19:F51,"NOK",'E2-HU4'!G19:G51,"")</f>
        <v>0</v>
      </c>
      <c r="L26" s="13" t="str">
        <f t="shared" si="7"/>
        <v>Coincide</v>
      </c>
    </row>
    <row r="27" spans="1:12" x14ac:dyDescent="0.3">
      <c r="A27" s="12" t="s">
        <v>107</v>
      </c>
      <c r="B27" s="16"/>
      <c r="C27" s="17">
        <f t="shared" si="3"/>
        <v>0.99099099099099097</v>
      </c>
      <c r="D27" s="17">
        <f t="shared" si="4"/>
        <v>0.90909090909090906</v>
      </c>
      <c r="E27" s="17">
        <f t="shared" si="5"/>
        <v>9.0909090909090912E-2</v>
      </c>
      <c r="F27" s="18">
        <f t="shared" ref="F27:K27" si="8">SUM(F19:F26)</f>
        <v>6</v>
      </c>
      <c r="G27" s="18">
        <f t="shared" si="8"/>
        <v>4</v>
      </c>
      <c r="H27" s="18">
        <f t="shared" si="8"/>
        <v>0</v>
      </c>
      <c r="I27" s="18">
        <f t="shared" si="8"/>
        <v>0</v>
      </c>
      <c r="J27" s="18">
        <f t="shared" si="8"/>
        <v>52</v>
      </c>
      <c r="K27" s="18">
        <f t="shared" si="8"/>
        <v>0</v>
      </c>
      <c r="L27" s="12" t="str">
        <f t="shared" si="7"/>
        <v>Coincide</v>
      </c>
    </row>
    <row r="29" spans="1:12" ht="14.25" customHeight="1" x14ac:dyDescent="0.3">
      <c r="A29" s="53" t="s">
        <v>119</v>
      </c>
      <c r="B29" s="53"/>
      <c r="C29" s="53"/>
      <c r="D29" s="53"/>
      <c r="E29" s="53"/>
      <c r="F29" s="53"/>
      <c r="G29" s="53"/>
      <c r="H29" s="53"/>
      <c r="I29" s="53"/>
      <c r="J29" s="53"/>
      <c r="K29" s="53"/>
      <c r="L29" s="53"/>
    </row>
    <row r="30" spans="1:12" ht="14.25" customHeight="1" x14ac:dyDescent="0.3">
      <c r="A30" s="54" t="s">
        <v>120</v>
      </c>
      <c r="B30" s="54"/>
      <c r="C30" s="3" t="s">
        <v>121</v>
      </c>
      <c r="D30" s="54" t="s">
        <v>122</v>
      </c>
      <c r="E30" s="54"/>
      <c r="F30" s="54"/>
      <c r="G30" s="54"/>
      <c r="H30" s="54"/>
      <c r="I30" s="54"/>
      <c r="J30" s="54"/>
      <c r="K30" s="54"/>
      <c r="L30" s="54"/>
    </row>
    <row r="31" spans="1:12" ht="42" customHeight="1" x14ac:dyDescent="0.3">
      <c r="A31" s="50" t="s">
        <v>81</v>
      </c>
      <c r="B31" s="50"/>
      <c r="C31" s="19">
        <f>D13</f>
        <v>111</v>
      </c>
      <c r="D31" s="51" t="s">
        <v>123</v>
      </c>
      <c r="E31" s="51"/>
      <c r="F31" s="51"/>
      <c r="G31" s="51"/>
      <c r="H31" s="51"/>
      <c r="I31" s="51"/>
      <c r="J31" s="51"/>
      <c r="K31" s="51"/>
      <c r="L31" s="51"/>
    </row>
    <row r="32" spans="1:12" ht="30" customHeight="1" x14ac:dyDescent="0.3">
      <c r="A32" s="50" t="s">
        <v>124</v>
      </c>
      <c r="B32" s="50"/>
      <c r="C32" s="19">
        <f>J27</f>
        <v>52</v>
      </c>
      <c r="D32" s="51" t="s">
        <v>125</v>
      </c>
      <c r="E32" s="51"/>
      <c r="F32" s="51"/>
      <c r="G32" s="51"/>
      <c r="H32" s="51"/>
      <c r="I32" s="51"/>
      <c r="J32" s="51"/>
      <c r="K32" s="51"/>
      <c r="L32" s="51"/>
    </row>
    <row r="33" spans="1:12" ht="30" customHeight="1" x14ac:dyDescent="0.3">
      <c r="A33" s="50" t="s">
        <v>126</v>
      </c>
      <c r="B33" s="50"/>
      <c r="C33" s="19">
        <f>G13</f>
        <v>110</v>
      </c>
      <c r="D33" s="51" t="s">
        <v>127</v>
      </c>
      <c r="E33" s="51"/>
      <c r="F33" s="51"/>
      <c r="G33" s="51"/>
      <c r="H33" s="51"/>
      <c r="I33" s="51"/>
      <c r="J33" s="51"/>
      <c r="K33" s="51"/>
      <c r="L33" s="51"/>
    </row>
    <row r="34" spans="1:12" ht="30" customHeight="1" x14ac:dyDescent="0.3">
      <c r="A34" s="50" t="s">
        <v>128</v>
      </c>
      <c r="B34" s="50"/>
      <c r="C34" s="19">
        <f>J13</f>
        <v>1</v>
      </c>
      <c r="D34" s="51" t="s">
        <v>129</v>
      </c>
      <c r="E34" s="51"/>
      <c r="F34" s="51"/>
      <c r="G34" s="51"/>
      <c r="H34" s="51"/>
      <c r="I34" s="51"/>
      <c r="J34" s="51"/>
      <c r="K34" s="51"/>
      <c r="L34" s="51"/>
    </row>
    <row r="35" spans="1:12" ht="30" customHeight="1" x14ac:dyDescent="0.3">
      <c r="A35" s="50" t="s">
        <v>130</v>
      </c>
      <c r="B35" s="50"/>
      <c r="C35" s="20">
        <f>C27</f>
        <v>0.99099099099099097</v>
      </c>
      <c r="D35" s="51" t="s">
        <v>131</v>
      </c>
      <c r="E35" s="51"/>
      <c r="F35" s="51"/>
      <c r="G35" s="51"/>
      <c r="H35" s="51"/>
      <c r="I35" s="51"/>
      <c r="J35" s="51"/>
      <c r="K35" s="51"/>
      <c r="L35" s="51"/>
    </row>
    <row r="36" spans="1:12" ht="42" customHeight="1" x14ac:dyDescent="0.3">
      <c r="A36" s="50" t="s">
        <v>132</v>
      </c>
      <c r="B36" s="50"/>
      <c r="C36" s="20">
        <f>D27</f>
        <v>0.90909090909090906</v>
      </c>
      <c r="D36" s="51" t="s">
        <v>133</v>
      </c>
      <c r="E36" s="51"/>
      <c r="F36" s="51"/>
      <c r="G36" s="51"/>
      <c r="H36" s="51"/>
      <c r="I36" s="51"/>
      <c r="J36" s="51"/>
      <c r="K36" s="51"/>
      <c r="L36" s="51"/>
    </row>
    <row r="37" spans="1:12" ht="30" customHeight="1" x14ac:dyDescent="0.3">
      <c r="A37" s="50" t="s">
        <v>134</v>
      </c>
      <c r="B37" s="50"/>
      <c r="C37" s="20">
        <f>E27</f>
        <v>9.0909090909090912E-2</v>
      </c>
      <c r="D37" s="51" t="s">
        <v>135</v>
      </c>
      <c r="E37" s="51"/>
      <c r="F37" s="51"/>
      <c r="G37" s="51"/>
      <c r="H37" s="51"/>
      <c r="I37" s="51"/>
      <c r="J37" s="51"/>
      <c r="K37" s="51"/>
      <c r="L37" s="51"/>
    </row>
    <row r="38" spans="1:12" ht="30" customHeight="1" x14ac:dyDescent="0.3">
      <c r="A38" s="50" t="s">
        <v>136</v>
      </c>
      <c r="B38" s="50"/>
      <c r="C38" s="19">
        <f>I13</f>
        <v>10</v>
      </c>
      <c r="D38" s="51" t="s">
        <v>137</v>
      </c>
      <c r="E38" s="51"/>
      <c r="F38" s="51"/>
      <c r="G38" s="51"/>
      <c r="H38" s="51"/>
      <c r="I38" s="51"/>
      <c r="J38" s="51"/>
      <c r="K38" s="51"/>
      <c r="L38" s="51"/>
    </row>
    <row r="39" spans="1:12" ht="42" customHeight="1" x14ac:dyDescent="0.3">
      <c r="A39" s="50" t="s">
        <v>138</v>
      </c>
      <c r="B39" s="50"/>
      <c r="C39" s="21" t="str">
        <f>H27&amp;" / "&amp;G27&amp;" / "&amp;F27</f>
        <v>0 / 4 / 6</v>
      </c>
      <c r="D39" s="51" t="s">
        <v>139</v>
      </c>
      <c r="E39" s="51"/>
      <c r="F39" s="51"/>
      <c r="G39" s="51"/>
      <c r="H39" s="51"/>
      <c r="I39" s="51"/>
      <c r="J39" s="51"/>
      <c r="K39" s="51"/>
      <c r="L39" s="51"/>
    </row>
    <row r="40" spans="1:12" ht="30" customHeight="1" x14ac:dyDescent="0.3">
      <c r="A40" s="50" t="s">
        <v>140</v>
      </c>
      <c r="B40" s="50"/>
      <c r="C40" s="19">
        <f>I27</f>
        <v>0</v>
      </c>
      <c r="D40" s="51" t="s">
        <v>141</v>
      </c>
      <c r="E40" s="51"/>
      <c r="F40" s="51"/>
      <c r="G40" s="51"/>
      <c r="H40" s="51"/>
      <c r="I40" s="51"/>
      <c r="J40" s="51"/>
      <c r="K40" s="51"/>
      <c r="L40" s="51"/>
    </row>
    <row r="41" spans="1:12" ht="30" customHeight="1" x14ac:dyDescent="0.3">
      <c r="A41" s="50" t="s">
        <v>142</v>
      </c>
      <c r="B41" s="50"/>
      <c r="C41" s="19">
        <f>K27</f>
        <v>0</v>
      </c>
      <c r="D41" s="51" t="s">
        <v>143</v>
      </c>
      <c r="E41" s="51"/>
      <c r="F41" s="51"/>
      <c r="G41" s="51"/>
      <c r="H41" s="51"/>
      <c r="I41" s="51"/>
      <c r="J41" s="51"/>
      <c r="K41" s="51"/>
      <c r="L41" s="51"/>
    </row>
    <row r="42" spans="1:12" ht="30" customHeight="1" x14ac:dyDescent="0.3">
      <c r="A42" s="50" t="s">
        <v>144</v>
      </c>
      <c r="B42" s="50"/>
      <c r="C42" s="21" t="str">
        <f>K13</f>
        <v>8 de 8 cumplen</v>
      </c>
      <c r="D42" s="51" t="s">
        <v>145</v>
      </c>
      <c r="E42" s="51"/>
      <c r="F42" s="51"/>
      <c r="G42" s="51"/>
      <c r="H42" s="51"/>
      <c r="I42" s="51"/>
      <c r="J42" s="51"/>
      <c r="K42" s="51"/>
      <c r="L42" s="51"/>
    </row>
    <row r="44" spans="1:12" ht="27.75" customHeight="1" x14ac:dyDescent="0.3">
      <c r="A44" s="49" t="s">
        <v>146</v>
      </c>
      <c r="B44" s="49"/>
      <c r="C44" s="49"/>
      <c r="D44" s="49"/>
      <c r="E44" s="49"/>
      <c r="F44" s="49"/>
      <c r="G44" s="49"/>
      <c r="H44" s="49"/>
      <c r="I44" s="49"/>
      <c r="J44" s="49"/>
      <c r="K44" s="49"/>
      <c r="L44" s="49"/>
    </row>
  </sheetData>
  <mergeCells count="31">
    <mergeCell ref="A1:K1"/>
    <mergeCell ref="A2:K2"/>
    <mergeCell ref="A17:L17"/>
    <mergeCell ref="A29:L29"/>
    <mergeCell ref="A30:B30"/>
    <mergeCell ref="D30:L30"/>
    <mergeCell ref="A31:B31"/>
    <mergeCell ref="D31:L31"/>
    <mergeCell ref="A32:B32"/>
    <mergeCell ref="D32:L32"/>
    <mergeCell ref="A33:B33"/>
    <mergeCell ref="D33:L33"/>
    <mergeCell ref="A34:B34"/>
    <mergeCell ref="D34:L34"/>
    <mergeCell ref="A35:B35"/>
    <mergeCell ref="D35:L35"/>
    <mergeCell ref="A36:B36"/>
    <mergeCell ref="D36:L36"/>
    <mergeCell ref="A37:B37"/>
    <mergeCell ref="D37:L37"/>
    <mergeCell ref="A38:B38"/>
    <mergeCell ref="D38:L38"/>
    <mergeCell ref="A39:B39"/>
    <mergeCell ref="D39:L39"/>
    <mergeCell ref="A44:L44"/>
    <mergeCell ref="A40:B40"/>
    <mergeCell ref="D40:L40"/>
    <mergeCell ref="A41:B41"/>
    <mergeCell ref="D41:L41"/>
    <mergeCell ref="A42:B42"/>
    <mergeCell ref="D42:L42"/>
  </mergeCells>
  <conditionalFormatting sqref="I19:I27">
    <cfRule type="cellIs" dxfId="22" priority="5" operator="greaterThan">
      <formula>0</formula>
    </cfRule>
  </conditionalFormatting>
  <conditionalFormatting sqref="K5:K12">
    <cfRule type="cellIs" dxfId="21" priority="2" operator="equal">
      <formula>"Sí cumple"</formula>
    </cfRule>
    <cfRule type="cellIs" dxfId="20" priority="3" operator="equal">
      <formula>"NO cumple"</formula>
    </cfRule>
  </conditionalFormatting>
  <conditionalFormatting sqref="K19:K27">
    <cfRule type="cellIs" dxfId="19" priority="6" operator="greaterThan">
      <formula>0</formula>
    </cfRule>
  </conditionalFormatting>
  <conditionalFormatting sqref="L19:L27">
    <cfRule type="cellIs" dxfId="18" priority="4" operator="equal">
      <formula>"Revisar"</formula>
    </cfRule>
  </conditionalFormatting>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63"/>
  <sheetViews>
    <sheetView showGridLines="0" zoomScale="76" zoomScaleNormal="76" workbookViewId="0">
      <pane xSplit="1" ySplit="18" topLeftCell="B64" activePane="bottomRight" state="frozen"/>
      <selection pane="topRight" activeCell="B1" sqref="B1"/>
      <selection pane="bottomLeft" activeCell="A19" sqref="A19"/>
      <selection pane="bottomRight" activeCell="G116" sqref="G116:G121"/>
    </sheetView>
  </sheetViews>
  <sheetFormatPr baseColWidth="10" defaultColWidth="8.6640625" defaultRowHeight="14.4" x14ac:dyDescent="0.3"/>
  <cols>
    <col min="1" max="1" width="34" customWidth="1"/>
    <col min="2" max="2" width="22" customWidth="1"/>
    <col min="3" max="3" width="40" customWidth="1"/>
    <col min="4" max="4" width="14" customWidth="1"/>
    <col min="5" max="5" width="52" customWidth="1"/>
    <col min="6" max="6" width="16" customWidth="1"/>
    <col min="7" max="7" width="36" customWidth="1"/>
    <col min="8" max="8" width="16" customWidth="1"/>
    <col min="9" max="9" width="46" customWidth="1"/>
  </cols>
  <sheetData>
    <row r="1" spans="1:9" ht="33.75" customHeight="1" x14ac:dyDescent="0.3">
      <c r="A1" s="45" t="s">
        <v>147</v>
      </c>
      <c r="B1" s="45"/>
      <c r="C1" s="45"/>
      <c r="D1" s="45"/>
      <c r="E1" s="45"/>
      <c r="F1" s="45"/>
      <c r="G1" s="45"/>
      <c r="H1" s="45"/>
      <c r="I1" s="45"/>
    </row>
    <row r="2" spans="1:9" ht="15" customHeight="1" x14ac:dyDescent="0.3">
      <c r="A2" s="46" t="s">
        <v>148</v>
      </c>
      <c r="B2" s="46"/>
      <c r="C2" s="46"/>
      <c r="D2" s="46"/>
      <c r="E2" s="46"/>
      <c r="F2" s="46"/>
      <c r="G2" s="46"/>
      <c r="H2" s="46"/>
      <c r="I2" s="46"/>
    </row>
    <row r="4" spans="1:9" ht="15" customHeight="1" x14ac:dyDescent="0.3">
      <c r="A4" s="47" t="s">
        <v>149</v>
      </c>
      <c r="B4" s="47"/>
      <c r="C4" s="47"/>
      <c r="E4" s="47" t="s">
        <v>68</v>
      </c>
      <c r="F4" s="47"/>
      <c r="G4" s="47"/>
    </row>
    <row r="5" spans="1:9" ht="15" customHeight="1" x14ac:dyDescent="0.3">
      <c r="A5" s="4" t="s">
        <v>150</v>
      </c>
      <c r="B5" s="42" t="s">
        <v>151</v>
      </c>
      <c r="C5" s="42"/>
      <c r="E5" s="22" t="s">
        <v>69</v>
      </c>
      <c r="F5" s="38">
        <f>COUNTIF(A19:A163,"HE?_HU?_CA?_CP???")</f>
        <v>25</v>
      </c>
      <c r="G5" s="38"/>
    </row>
    <row r="6" spans="1:9" ht="15" customHeight="1" x14ac:dyDescent="0.3">
      <c r="A6" s="4" t="s">
        <v>152</v>
      </c>
      <c r="B6" s="42" t="s">
        <v>153</v>
      </c>
      <c r="C6" s="42"/>
      <c r="E6" s="22" t="s">
        <v>154</v>
      </c>
      <c r="F6" s="38">
        <f>COUNTIF(F19:F163,"OK")+COUNTIF(F19:F163,"NOK")</f>
        <v>25</v>
      </c>
      <c r="G6" s="38"/>
    </row>
    <row r="7" spans="1:9" ht="15" customHeight="1" x14ac:dyDescent="0.3">
      <c r="A7" s="4" t="s">
        <v>155</v>
      </c>
      <c r="B7" s="42" t="s">
        <v>156</v>
      </c>
      <c r="C7" s="42"/>
      <c r="E7" s="22" t="s">
        <v>157</v>
      </c>
      <c r="F7" s="38">
        <f>COUNTIF(F19:F163,"OK")</f>
        <v>23</v>
      </c>
      <c r="G7" s="38"/>
    </row>
    <row r="8" spans="1:9" ht="15" customHeight="1" x14ac:dyDescent="0.3">
      <c r="A8" s="4" t="s">
        <v>158</v>
      </c>
      <c r="B8" s="42"/>
      <c r="C8" s="42"/>
      <c r="E8" s="22" t="s">
        <v>159</v>
      </c>
      <c r="F8" s="38">
        <f>COUNTIF(F19:F163,"NOK")</f>
        <v>2</v>
      </c>
      <c r="G8" s="38"/>
    </row>
    <row r="9" spans="1:9" ht="15" customHeight="1" x14ac:dyDescent="0.3">
      <c r="A9" s="4" t="s">
        <v>160</v>
      </c>
      <c r="B9" s="42"/>
      <c r="C9" s="42"/>
      <c r="E9" s="22" t="s">
        <v>132</v>
      </c>
      <c r="F9" s="43">
        <f>IF(F6=0,"Sin ejecutados",F7/F6)</f>
        <v>0.92</v>
      </c>
      <c r="G9" s="43"/>
    </row>
    <row r="10" spans="1:9" ht="15" customHeight="1" x14ac:dyDescent="0.3">
      <c r="A10" s="4" t="s">
        <v>161</v>
      </c>
      <c r="B10" s="42" t="s">
        <v>162</v>
      </c>
      <c r="C10" s="42"/>
      <c r="E10" s="22" t="s">
        <v>134</v>
      </c>
      <c r="F10" s="43">
        <f>IF(F6=0,"Sin ejecutados",F8/F6)</f>
        <v>0.08</v>
      </c>
      <c r="G10" s="43"/>
    </row>
    <row r="11" spans="1:9" ht="15" customHeight="1" x14ac:dyDescent="0.3">
      <c r="A11" s="44" t="s">
        <v>163</v>
      </c>
      <c r="B11" s="44"/>
      <c r="C11" s="44"/>
      <c r="E11" s="22" t="s">
        <v>164</v>
      </c>
      <c r="F11" s="38">
        <f>F5-F6</f>
        <v>0</v>
      </c>
      <c r="G11" s="38"/>
    </row>
    <row r="12" spans="1:9" ht="15" customHeight="1" x14ac:dyDescent="0.3">
      <c r="A12" s="4" t="s">
        <v>165</v>
      </c>
      <c r="B12" s="37">
        <f>COUNTIF(A19:A163,"*_CA1_*")</f>
        <v>7</v>
      </c>
      <c r="C12" s="37"/>
      <c r="E12" s="22" t="s">
        <v>166</v>
      </c>
      <c r="F12" s="38">
        <f>COUNTIF(D19:D163,"Positivo*")</f>
        <v>4</v>
      </c>
      <c r="G12" s="38"/>
    </row>
    <row r="13" spans="1:9" ht="23.25" customHeight="1" x14ac:dyDescent="0.3">
      <c r="A13" s="4" t="s">
        <v>167</v>
      </c>
      <c r="B13" s="37">
        <f>COUNTIF(A19:A163,"*_CA2_*")</f>
        <v>13</v>
      </c>
      <c r="C13" s="37"/>
      <c r="E13" s="22" t="s">
        <v>168</v>
      </c>
      <c r="F13" s="38">
        <f>COUNTIF(D19:D163,"Negativo*")</f>
        <v>21</v>
      </c>
      <c r="G13" s="38"/>
    </row>
    <row r="14" spans="1:9" ht="15" customHeight="1" x14ac:dyDescent="0.3">
      <c r="A14" s="4" t="s">
        <v>169</v>
      </c>
      <c r="B14" s="37">
        <f>COUNTIF(A19:A163,"*_CA3_*")</f>
        <v>5</v>
      </c>
      <c r="C14" s="37"/>
      <c r="E14" s="22" t="s">
        <v>170</v>
      </c>
      <c r="F14" s="38">
        <f>COUNTIFS(F19:F163,"NOK",H19:H163,"*Baja")</f>
        <v>1</v>
      </c>
      <c r="G14" s="38"/>
    </row>
    <row r="15" spans="1:9" ht="15" customHeight="1" x14ac:dyDescent="0.3">
      <c r="A15" s="23" t="s">
        <v>171</v>
      </c>
      <c r="B15" s="39">
        <f>COUNTIF(A19:A163,"*_CA4_*")</f>
        <v>0</v>
      </c>
      <c r="C15" s="39"/>
      <c r="E15" s="22" t="s">
        <v>172</v>
      </c>
      <c r="F15" s="38">
        <f>COUNTIFS(F19:F163,"NOK",H19:H163,"*Media")</f>
        <v>1</v>
      </c>
      <c r="G15" s="38"/>
    </row>
    <row r="16" spans="1:9" ht="15" customHeight="1" x14ac:dyDescent="0.3">
      <c r="A16" s="24" t="s">
        <v>173</v>
      </c>
      <c r="B16" s="40">
        <f>SUM(B12:B15)</f>
        <v>25</v>
      </c>
      <c r="C16" s="40"/>
      <c r="E16" s="22" t="s">
        <v>174</v>
      </c>
      <c r="F16" s="38">
        <f>COUNTIFS(F19:F163,"NOK",H19:H163,"*Alta")</f>
        <v>0</v>
      </c>
      <c r="G16" s="38"/>
    </row>
    <row r="17" spans="1:9" ht="15" customHeight="1" x14ac:dyDescent="0.3">
      <c r="A17" s="41" t="s">
        <v>175</v>
      </c>
      <c r="B17" s="41"/>
      <c r="C17" s="41"/>
      <c r="D17" s="41"/>
      <c r="E17" s="41"/>
      <c r="F17" s="41"/>
      <c r="G17" s="41"/>
      <c r="H17" s="41"/>
      <c r="I17" s="41"/>
    </row>
    <row r="18" spans="1:9" ht="33.75" customHeight="1" x14ac:dyDescent="0.3">
      <c r="A18" s="6" t="s">
        <v>16</v>
      </c>
      <c r="B18" s="6" t="s">
        <v>176</v>
      </c>
      <c r="C18" s="6" t="s">
        <v>177</v>
      </c>
      <c r="D18" s="6" t="s">
        <v>20</v>
      </c>
      <c r="E18" s="6" t="s">
        <v>22</v>
      </c>
      <c r="F18" s="6" t="s">
        <v>178</v>
      </c>
      <c r="G18" s="6" t="s">
        <v>179</v>
      </c>
      <c r="H18" s="6" t="s">
        <v>180</v>
      </c>
      <c r="I18" s="6" t="s">
        <v>24</v>
      </c>
    </row>
    <row r="19" spans="1:9" ht="20.25" customHeight="1" x14ac:dyDescent="0.3">
      <c r="A19" s="28" t="s">
        <v>181</v>
      </c>
      <c r="B19" s="25" t="s">
        <v>182</v>
      </c>
      <c r="C19" s="25" t="s">
        <v>183</v>
      </c>
      <c r="D19" s="29" t="s">
        <v>184</v>
      </c>
      <c r="E19" s="30" t="s">
        <v>185</v>
      </c>
      <c r="F19" s="31" t="s">
        <v>85</v>
      </c>
      <c r="G19" s="32" t="s">
        <v>186</v>
      </c>
      <c r="H19" s="31"/>
      <c r="I19" s="30" t="s">
        <v>187</v>
      </c>
    </row>
    <row r="20" spans="1:9" ht="20.25" customHeight="1" x14ac:dyDescent="0.3">
      <c r="A20" s="28"/>
      <c r="B20" s="25" t="s">
        <v>188</v>
      </c>
      <c r="C20" s="25" t="s">
        <v>189</v>
      </c>
      <c r="D20" s="29"/>
      <c r="E20" s="30"/>
      <c r="F20" s="31"/>
      <c r="G20" s="32"/>
      <c r="H20" s="31"/>
      <c r="I20" s="30"/>
    </row>
    <row r="21" spans="1:9" ht="20.25" customHeight="1" x14ac:dyDescent="0.3">
      <c r="A21" s="28"/>
      <c r="B21" s="25" t="s">
        <v>190</v>
      </c>
      <c r="C21" s="25" t="s">
        <v>191</v>
      </c>
      <c r="D21" s="29"/>
      <c r="E21" s="30"/>
      <c r="F21" s="31"/>
      <c r="G21" s="32"/>
      <c r="H21" s="31"/>
      <c r="I21" s="30"/>
    </row>
    <row r="22" spans="1:9" ht="20.25" customHeight="1" x14ac:dyDescent="0.3">
      <c r="A22" s="28"/>
      <c r="B22" s="25" t="s">
        <v>192</v>
      </c>
      <c r="C22" s="25" t="s">
        <v>193</v>
      </c>
      <c r="D22" s="29"/>
      <c r="E22" s="30"/>
      <c r="F22" s="31"/>
      <c r="G22" s="32"/>
      <c r="H22" s="31"/>
      <c r="I22" s="30"/>
    </row>
    <row r="23" spans="1:9" ht="20.25" customHeight="1" x14ac:dyDescent="0.3">
      <c r="A23" s="28"/>
      <c r="B23" s="25" t="s">
        <v>194</v>
      </c>
      <c r="C23" s="25" t="s">
        <v>195</v>
      </c>
      <c r="D23" s="29"/>
      <c r="E23" s="30"/>
      <c r="F23" s="31"/>
      <c r="G23" s="32"/>
      <c r="H23" s="31"/>
      <c r="I23" s="30"/>
    </row>
    <row r="24" spans="1:9" ht="20.25" customHeight="1" x14ac:dyDescent="0.3">
      <c r="A24" s="28"/>
      <c r="B24" s="25" t="s">
        <v>196</v>
      </c>
      <c r="C24" s="25" t="s">
        <v>197</v>
      </c>
      <c r="D24" s="29"/>
      <c r="E24" s="30"/>
      <c r="F24" s="31"/>
      <c r="G24" s="32"/>
      <c r="H24" s="31"/>
      <c r="I24" s="30"/>
    </row>
    <row r="25" spans="1:9" ht="27" customHeight="1" x14ac:dyDescent="0.3">
      <c r="A25" s="33" t="s">
        <v>198</v>
      </c>
      <c r="B25" s="26" t="s">
        <v>182</v>
      </c>
      <c r="C25" s="26" t="s">
        <v>199</v>
      </c>
      <c r="D25" s="34" t="s">
        <v>184</v>
      </c>
      <c r="E25" s="35" t="s">
        <v>200</v>
      </c>
      <c r="F25" s="31" t="s">
        <v>85</v>
      </c>
      <c r="G25" s="32" t="s">
        <v>186</v>
      </c>
      <c r="H25" s="31"/>
      <c r="I25" s="35" t="s">
        <v>201</v>
      </c>
    </row>
    <row r="26" spans="1:9" ht="27" customHeight="1" x14ac:dyDescent="0.3">
      <c r="A26" s="33"/>
      <c r="B26" s="26" t="s">
        <v>188</v>
      </c>
      <c r="C26" s="26" t="s">
        <v>202</v>
      </c>
      <c r="D26" s="34"/>
      <c r="E26" s="35"/>
      <c r="F26" s="31"/>
      <c r="G26" s="32"/>
      <c r="H26" s="31"/>
      <c r="I26" s="35"/>
    </row>
    <row r="27" spans="1:9" ht="27" customHeight="1" x14ac:dyDescent="0.3">
      <c r="A27" s="33"/>
      <c r="B27" s="26" t="s">
        <v>190</v>
      </c>
      <c r="C27" s="26" t="s">
        <v>203</v>
      </c>
      <c r="D27" s="34"/>
      <c r="E27" s="35"/>
      <c r="F27" s="31"/>
      <c r="G27" s="32"/>
      <c r="H27" s="31"/>
      <c r="I27" s="35"/>
    </row>
    <row r="28" spans="1:9" ht="27" customHeight="1" x14ac:dyDescent="0.3">
      <c r="A28" s="33"/>
      <c r="B28" s="26" t="s">
        <v>192</v>
      </c>
      <c r="C28" s="26" t="s">
        <v>204</v>
      </c>
      <c r="D28" s="34"/>
      <c r="E28" s="35"/>
      <c r="F28" s="31"/>
      <c r="G28" s="32"/>
      <c r="H28" s="31"/>
      <c r="I28" s="35"/>
    </row>
    <row r="29" spans="1:9" ht="27" customHeight="1" x14ac:dyDescent="0.3">
      <c r="A29" s="33"/>
      <c r="B29" s="26" t="s">
        <v>194</v>
      </c>
      <c r="C29" s="26" t="s">
        <v>205</v>
      </c>
      <c r="D29" s="34"/>
      <c r="E29" s="35"/>
      <c r="F29" s="31"/>
      <c r="G29" s="32"/>
      <c r="H29" s="31"/>
      <c r="I29" s="35"/>
    </row>
    <row r="30" spans="1:9" ht="27" customHeight="1" x14ac:dyDescent="0.3">
      <c r="A30" s="33"/>
      <c r="B30" s="26" t="s">
        <v>196</v>
      </c>
      <c r="C30" s="26" t="s">
        <v>206</v>
      </c>
      <c r="D30" s="34"/>
      <c r="E30" s="35"/>
      <c r="F30" s="31"/>
      <c r="G30" s="32"/>
      <c r="H30" s="31"/>
      <c r="I30" s="35"/>
    </row>
    <row r="31" spans="1:9" ht="18.75" customHeight="1" x14ac:dyDescent="0.3">
      <c r="A31" s="28" t="s">
        <v>207</v>
      </c>
      <c r="B31" s="25" t="s">
        <v>182</v>
      </c>
      <c r="C31" s="25" t="s">
        <v>208</v>
      </c>
      <c r="D31" s="29" t="s">
        <v>184</v>
      </c>
      <c r="E31" s="30" t="s">
        <v>209</v>
      </c>
      <c r="F31" s="31" t="s">
        <v>85</v>
      </c>
      <c r="G31" s="32" t="s">
        <v>186</v>
      </c>
      <c r="H31" s="31"/>
      <c r="I31" s="30" t="s">
        <v>210</v>
      </c>
    </row>
    <row r="32" spans="1:9" ht="18.75" customHeight="1" x14ac:dyDescent="0.3">
      <c r="A32" s="28"/>
      <c r="B32" s="25" t="s">
        <v>188</v>
      </c>
      <c r="C32" s="25" t="s">
        <v>211</v>
      </c>
      <c r="D32" s="29"/>
      <c r="E32" s="30"/>
      <c r="F32" s="31"/>
      <c r="G32" s="32"/>
      <c r="H32" s="31"/>
      <c r="I32" s="30"/>
    </row>
    <row r="33" spans="1:9" ht="18.75" customHeight="1" x14ac:dyDescent="0.3">
      <c r="A33" s="28"/>
      <c r="B33" s="25" t="s">
        <v>190</v>
      </c>
      <c r="C33" s="25" t="s">
        <v>212</v>
      </c>
      <c r="D33" s="29"/>
      <c r="E33" s="30"/>
      <c r="F33" s="31"/>
      <c r="G33" s="32"/>
      <c r="H33" s="31"/>
      <c r="I33" s="30"/>
    </row>
    <row r="34" spans="1:9" ht="18.75" customHeight="1" x14ac:dyDescent="0.3">
      <c r="A34" s="28"/>
      <c r="B34" s="25" t="s">
        <v>192</v>
      </c>
      <c r="C34" s="25" t="s">
        <v>213</v>
      </c>
      <c r="D34" s="29"/>
      <c r="E34" s="30"/>
      <c r="F34" s="31"/>
      <c r="G34" s="32"/>
      <c r="H34" s="31"/>
      <c r="I34" s="30"/>
    </row>
    <row r="35" spans="1:9" ht="18.75" customHeight="1" x14ac:dyDescent="0.3">
      <c r="A35" s="28"/>
      <c r="B35" s="25" t="s">
        <v>194</v>
      </c>
      <c r="C35" s="25" t="s">
        <v>214</v>
      </c>
      <c r="D35" s="29"/>
      <c r="E35" s="30"/>
      <c r="F35" s="31"/>
      <c r="G35" s="32"/>
      <c r="H35" s="31"/>
      <c r="I35" s="30"/>
    </row>
    <row r="36" spans="1:9" ht="18.75" customHeight="1" x14ac:dyDescent="0.3">
      <c r="A36" s="28"/>
      <c r="B36" s="25" t="s">
        <v>196</v>
      </c>
      <c r="C36" s="25" t="s">
        <v>215</v>
      </c>
      <c r="D36" s="29"/>
      <c r="E36" s="30"/>
      <c r="F36" s="31"/>
      <c r="G36" s="32"/>
      <c r="H36" s="31"/>
      <c r="I36" s="30"/>
    </row>
    <row r="37" spans="1:9" ht="22.5" customHeight="1" x14ac:dyDescent="0.3">
      <c r="A37" s="33" t="s">
        <v>216</v>
      </c>
      <c r="B37" s="26" t="s">
        <v>182</v>
      </c>
      <c r="C37" s="26" t="s">
        <v>217</v>
      </c>
      <c r="D37" s="34" t="s">
        <v>184</v>
      </c>
      <c r="E37" s="35" t="s">
        <v>185</v>
      </c>
      <c r="F37" s="31" t="s">
        <v>85</v>
      </c>
      <c r="G37" s="32" t="s">
        <v>186</v>
      </c>
      <c r="H37" s="31"/>
      <c r="I37" s="35" t="s">
        <v>218</v>
      </c>
    </row>
    <row r="38" spans="1:9" ht="22.5" customHeight="1" x14ac:dyDescent="0.3">
      <c r="A38" s="33"/>
      <c r="B38" s="26" t="s">
        <v>188</v>
      </c>
      <c r="C38" s="26" t="s">
        <v>219</v>
      </c>
      <c r="D38" s="34"/>
      <c r="E38" s="35"/>
      <c r="F38" s="31"/>
      <c r="G38" s="32"/>
      <c r="H38" s="31"/>
      <c r="I38" s="35"/>
    </row>
    <row r="39" spans="1:9" ht="22.5" customHeight="1" x14ac:dyDescent="0.3">
      <c r="A39" s="33"/>
      <c r="B39" s="26" t="s">
        <v>190</v>
      </c>
      <c r="C39" s="26" t="s">
        <v>220</v>
      </c>
      <c r="D39" s="34"/>
      <c r="E39" s="35"/>
      <c r="F39" s="31"/>
      <c r="G39" s="32"/>
      <c r="H39" s="31"/>
      <c r="I39" s="35"/>
    </row>
    <row r="40" spans="1:9" ht="22.5" customHeight="1" x14ac:dyDescent="0.3">
      <c r="A40" s="33"/>
      <c r="B40" s="26" t="s">
        <v>192</v>
      </c>
      <c r="C40" s="26" t="s">
        <v>221</v>
      </c>
      <c r="D40" s="34"/>
      <c r="E40" s="35"/>
      <c r="F40" s="31"/>
      <c r="G40" s="32"/>
      <c r="H40" s="31"/>
      <c r="I40" s="35"/>
    </row>
    <row r="41" spans="1:9" ht="22.5" customHeight="1" x14ac:dyDescent="0.3">
      <c r="A41" s="33"/>
      <c r="B41" s="26" t="s">
        <v>194</v>
      </c>
      <c r="C41" s="26" t="s">
        <v>195</v>
      </c>
      <c r="D41" s="34"/>
      <c r="E41" s="35"/>
      <c r="F41" s="31"/>
      <c r="G41" s="32"/>
      <c r="H41" s="31"/>
      <c r="I41" s="35"/>
    </row>
    <row r="42" spans="1:9" ht="22.5" customHeight="1" x14ac:dyDescent="0.3">
      <c r="A42" s="33"/>
      <c r="B42" s="26" t="s">
        <v>196</v>
      </c>
      <c r="C42" s="26" t="s">
        <v>222</v>
      </c>
      <c r="D42" s="34"/>
      <c r="E42" s="35"/>
      <c r="F42" s="31"/>
      <c r="G42" s="32"/>
      <c r="H42" s="31"/>
      <c r="I42" s="35"/>
    </row>
    <row r="43" spans="1:9" ht="18.75" customHeight="1" x14ac:dyDescent="0.3">
      <c r="A43" s="28" t="s">
        <v>223</v>
      </c>
      <c r="B43" s="25" t="s">
        <v>182</v>
      </c>
      <c r="C43" s="25" t="s">
        <v>224</v>
      </c>
      <c r="D43" s="29" t="s">
        <v>225</v>
      </c>
      <c r="E43" s="30" t="s">
        <v>226</v>
      </c>
      <c r="F43" s="31" t="s">
        <v>85</v>
      </c>
      <c r="G43" s="32" t="s">
        <v>186</v>
      </c>
      <c r="H43" s="31"/>
      <c r="I43" s="30" t="s">
        <v>227</v>
      </c>
    </row>
    <row r="44" spans="1:9" ht="18.75" customHeight="1" x14ac:dyDescent="0.3">
      <c r="A44" s="28"/>
      <c r="B44" s="25" t="s">
        <v>188</v>
      </c>
      <c r="C44" s="25" t="s">
        <v>228</v>
      </c>
      <c r="D44" s="29"/>
      <c r="E44" s="30"/>
      <c r="F44" s="31"/>
      <c r="G44" s="32"/>
      <c r="H44" s="31"/>
      <c r="I44" s="30"/>
    </row>
    <row r="45" spans="1:9" ht="18.75" customHeight="1" x14ac:dyDescent="0.3">
      <c r="A45" s="28"/>
      <c r="B45" s="25" t="s">
        <v>190</v>
      </c>
      <c r="C45" s="25" t="s">
        <v>191</v>
      </c>
      <c r="D45" s="29"/>
      <c r="E45" s="30"/>
      <c r="F45" s="31"/>
      <c r="G45" s="32"/>
      <c r="H45" s="31"/>
      <c r="I45" s="30"/>
    </row>
    <row r="46" spans="1:9" ht="18.75" customHeight="1" x14ac:dyDescent="0.3">
      <c r="A46" s="28"/>
      <c r="B46" s="25" t="s">
        <v>192</v>
      </c>
      <c r="C46" s="25" t="s">
        <v>229</v>
      </c>
      <c r="D46" s="29"/>
      <c r="E46" s="30"/>
      <c r="F46" s="31"/>
      <c r="G46" s="32"/>
      <c r="H46" s="31"/>
      <c r="I46" s="30"/>
    </row>
    <row r="47" spans="1:9" ht="18.75" customHeight="1" x14ac:dyDescent="0.3">
      <c r="A47" s="28"/>
      <c r="B47" s="25" t="s">
        <v>194</v>
      </c>
      <c r="C47" s="25" t="s">
        <v>195</v>
      </c>
      <c r="D47" s="29"/>
      <c r="E47" s="30"/>
      <c r="F47" s="31"/>
      <c r="G47" s="32"/>
      <c r="H47" s="31"/>
      <c r="I47" s="30"/>
    </row>
    <row r="48" spans="1:9" ht="18.75" customHeight="1" x14ac:dyDescent="0.3">
      <c r="A48" s="28"/>
      <c r="B48" s="25" t="s">
        <v>196</v>
      </c>
      <c r="C48" s="25" t="s">
        <v>197</v>
      </c>
      <c r="D48" s="29"/>
      <c r="E48" s="30"/>
      <c r="F48" s="31"/>
      <c r="G48" s="32"/>
      <c r="H48" s="31"/>
      <c r="I48" s="30"/>
    </row>
    <row r="49" spans="1:9" ht="18.75" customHeight="1" x14ac:dyDescent="0.3">
      <c r="A49" s="33" t="s">
        <v>230</v>
      </c>
      <c r="B49" s="26" t="s">
        <v>182</v>
      </c>
      <c r="C49" s="26" t="s">
        <v>183</v>
      </c>
      <c r="D49" s="34" t="s">
        <v>225</v>
      </c>
      <c r="E49" s="35" t="s">
        <v>231</v>
      </c>
      <c r="F49" s="31" t="s">
        <v>85</v>
      </c>
      <c r="G49" s="32" t="s">
        <v>186</v>
      </c>
      <c r="H49" s="31"/>
      <c r="I49" s="35" t="s">
        <v>227</v>
      </c>
    </row>
    <row r="50" spans="1:9" ht="18.75" customHeight="1" x14ac:dyDescent="0.3">
      <c r="A50" s="33"/>
      <c r="B50" s="26" t="s">
        <v>188</v>
      </c>
      <c r="C50" s="26" t="s">
        <v>224</v>
      </c>
      <c r="D50" s="34"/>
      <c r="E50" s="35"/>
      <c r="F50" s="31"/>
      <c r="G50" s="32"/>
      <c r="H50" s="31"/>
      <c r="I50" s="35"/>
    </row>
    <row r="51" spans="1:9" ht="18.75" customHeight="1" x14ac:dyDescent="0.3">
      <c r="A51" s="33"/>
      <c r="B51" s="26" t="s">
        <v>190</v>
      </c>
      <c r="C51" s="26" t="s">
        <v>191</v>
      </c>
      <c r="D51" s="34"/>
      <c r="E51" s="35"/>
      <c r="F51" s="31"/>
      <c r="G51" s="32"/>
      <c r="H51" s="31"/>
      <c r="I51" s="35"/>
    </row>
    <row r="52" spans="1:9" ht="18.75" customHeight="1" x14ac:dyDescent="0.3">
      <c r="A52" s="33"/>
      <c r="B52" s="26" t="s">
        <v>192</v>
      </c>
      <c r="C52" s="26" t="s">
        <v>229</v>
      </c>
      <c r="D52" s="34"/>
      <c r="E52" s="35"/>
      <c r="F52" s="31"/>
      <c r="G52" s="32"/>
      <c r="H52" s="31"/>
      <c r="I52" s="35"/>
    </row>
    <row r="53" spans="1:9" ht="18.75" customHeight="1" x14ac:dyDescent="0.3">
      <c r="A53" s="33"/>
      <c r="B53" s="26" t="s">
        <v>194</v>
      </c>
      <c r="C53" s="26" t="s">
        <v>195</v>
      </c>
      <c r="D53" s="34"/>
      <c r="E53" s="35"/>
      <c r="F53" s="31"/>
      <c r="G53" s="32"/>
      <c r="H53" s="31"/>
      <c r="I53" s="35"/>
    </row>
    <row r="54" spans="1:9" ht="18.75" customHeight="1" x14ac:dyDescent="0.3">
      <c r="A54" s="33"/>
      <c r="B54" s="26" t="s">
        <v>196</v>
      </c>
      <c r="C54" s="26" t="s">
        <v>197</v>
      </c>
      <c r="D54" s="34"/>
      <c r="E54" s="35"/>
      <c r="F54" s="31"/>
      <c r="G54" s="32"/>
      <c r="H54" s="31"/>
      <c r="I54" s="35"/>
    </row>
    <row r="55" spans="1:9" ht="18.75" customHeight="1" x14ac:dyDescent="0.3">
      <c r="A55" s="28" t="s">
        <v>232</v>
      </c>
      <c r="B55" s="25" t="s">
        <v>182</v>
      </c>
      <c r="C55" s="25" t="s">
        <v>183</v>
      </c>
      <c r="D55" s="29" t="s">
        <v>225</v>
      </c>
      <c r="E55" s="30" t="s">
        <v>233</v>
      </c>
      <c r="F55" s="31" t="s">
        <v>85</v>
      </c>
      <c r="G55" s="32" t="s">
        <v>186</v>
      </c>
      <c r="H55" s="31"/>
      <c r="I55" s="30" t="s">
        <v>227</v>
      </c>
    </row>
    <row r="56" spans="1:9" ht="18.75" customHeight="1" x14ac:dyDescent="0.3">
      <c r="A56" s="28"/>
      <c r="B56" s="25" t="s">
        <v>188</v>
      </c>
      <c r="C56" s="25" t="s">
        <v>228</v>
      </c>
      <c r="D56" s="29"/>
      <c r="E56" s="30"/>
      <c r="F56" s="31"/>
      <c r="G56" s="32"/>
      <c r="H56" s="31"/>
      <c r="I56" s="30"/>
    </row>
    <row r="57" spans="1:9" ht="18.75" customHeight="1" x14ac:dyDescent="0.3">
      <c r="A57" s="28"/>
      <c r="B57" s="25" t="s">
        <v>190</v>
      </c>
      <c r="C57" s="25" t="s">
        <v>224</v>
      </c>
      <c r="D57" s="29"/>
      <c r="E57" s="30"/>
      <c r="F57" s="31"/>
      <c r="G57" s="32"/>
      <c r="H57" s="31"/>
      <c r="I57" s="30"/>
    </row>
    <row r="58" spans="1:9" ht="18.75" customHeight="1" x14ac:dyDescent="0.3">
      <c r="A58" s="28"/>
      <c r="B58" s="25" t="s">
        <v>192</v>
      </c>
      <c r="C58" s="25" t="s">
        <v>229</v>
      </c>
      <c r="D58" s="29"/>
      <c r="E58" s="30"/>
      <c r="F58" s="31"/>
      <c r="G58" s="32"/>
      <c r="H58" s="31"/>
      <c r="I58" s="30"/>
    </row>
    <row r="59" spans="1:9" ht="18.75" customHeight="1" x14ac:dyDescent="0.3">
      <c r="A59" s="28"/>
      <c r="B59" s="25" t="s">
        <v>194</v>
      </c>
      <c r="C59" s="25" t="s">
        <v>195</v>
      </c>
      <c r="D59" s="29"/>
      <c r="E59" s="30"/>
      <c r="F59" s="31"/>
      <c r="G59" s="32"/>
      <c r="H59" s="31"/>
      <c r="I59" s="30"/>
    </row>
    <row r="60" spans="1:9" ht="18.75" customHeight="1" x14ac:dyDescent="0.3">
      <c r="A60" s="28"/>
      <c r="B60" s="25" t="s">
        <v>196</v>
      </c>
      <c r="C60" s="25" t="s">
        <v>197</v>
      </c>
      <c r="D60" s="29"/>
      <c r="E60" s="30"/>
      <c r="F60" s="31"/>
      <c r="G60" s="32"/>
      <c r="H60" s="31"/>
      <c r="I60" s="30"/>
    </row>
    <row r="61" spans="1:9" ht="18.75" customHeight="1" x14ac:dyDescent="0.3">
      <c r="A61" s="33" t="s">
        <v>234</v>
      </c>
      <c r="B61" s="26" t="s">
        <v>182</v>
      </c>
      <c r="C61" s="26" t="s">
        <v>183</v>
      </c>
      <c r="D61" s="34" t="s">
        <v>225</v>
      </c>
      <c r="E61" s="35" t="s">
        <v>235</v>
      </c>
      <c r="F61" s="31" t="s">
        <v>85</v>
      </c>
      <c r="G61" s="32" t="s">
        <v>186</v>
      </c>
      <c r="H61" s="31"/>
      <c r="I61" s="35" t="s">
        <v>227</v>
      </c>
    </row>
    <row r="62" spans="1:9" ht="18.75" customHeight="1" x14ac:dyDescent="0.3">
      <c r="A62" s="33"/>
      <c r="B62" s="26" t="s">
        <v>188</v>
      </c>
      <c r="C62" s="26" t="s">
        <v>228</v>
      </c>
      <c r="D62" s="34"/>
      <c r="E62" s="35"/>
      <c r="F62" s="31"/>
      <c r="G62" s="32"/>
      <c r="H62" s="31"/>
      <c r="I62" s="35"/>
    </row>
    <row r="63" spans="1:9" ht="18.75" customHeight="1" x14ac:dyDescent="0.3">
      <c r="A63" s="33"/>
      <c r="B63" s="26" t="s">
        <v>190</v>
      </c>
      <c r="C63" s="26" t="s">
        <v>191</v>
      </c>
      <c r="D63" s="34"/>
      <c r="E63" s="35"/>
      <c r="F63" s="31"/>
      <c r="G63" s="32"/>
      <c r="H63" s="31"/>
      <c r="I63" s="35"/>
    </row>
    <row r="64" spans="1:9" ht="18.75" customHeight="1" x14ac:dyDescent="0.3">
      <c r="A64" s="33"/>
      <c r="B64" s="26" t="s">
        <v>192</v>
      </c>
      <c r="C64" s="26" t="s">
        <v>224</v>
      </c>
      <c r="D64" s="34"/>
      <c r="E64" s="35"/>
      <c r="F64" s="31"/>
      <c r="G64" s="32"/>
      <c r="H64" s="31"/>
      <c r="I64" s="35"/>
    </row>
    <row r="65" spans="1:9" ht="18.75" customHeight="1" x14ac:dyDescent="0.3">
      <c r="A65" s="33"/>
      <c r="B65" s="26" t="s">
        <v>194</v>
      </c>
      <c r="C65" s="26" t="s">
        <v>195</v>
      </c>
      <c r="D65" s="34"/>
      <c r="E65" s="35"/>
      <c r="F65" s="31"/>
      <c r="G65" s="32"/>
      <c r="H65" s="31"/>
      <c r="I65" s="35"/>
    </row>
    <row r="66" spans="1:9" ht="18.75" customHeight="1" x14ac:dyDescent="0.3">
      <c r="A66" s="33"/>
      <c r="B66" s="26" t="s">
        <v>196</v>
      </c>
      <c r="C66" s="26" t="s">
        <v>197</v>
      </c>
      <c r="D66" s="34"/>
      <c r="E66" s="35"/>
      <c r="F66" s="31"/>
      <c r="G66" s="32"/>
      <c r="H66" s="31"/>
      <c r="I66" s="35"/>
    </row>
    <row r="67" spans="1:9" ht="18.75" customHeight="1" x14ac:dyDescent="0.3">
      <c r="A67" s="28" t="s">
        <v>236</v>
      </c>
      <c r="B67" s="25" t="s">
        <v>182</v>
      </c>
      <c r="C67" s="25" t="s">
        <v>183</v>
      </c>
      <c r="D67" s="29" t="s">
        <v>225</v>
      </c>
      <c r="E67" s="30" t="s">
        <v>237</v>
      </c>
      <c r="F67" s="31" t="s">
        <v>85</v>
      </c>
      <c r="G67" s="32" t="s">
        <v>186</v>
      </c>
      <c r="H67" s="31"/>
      <c r="I67" s="30" t="s">
        <v>227</v>
      </c>
    </row>
    <row r="68" spans="1:9" ht="18.75" customHeight="1" x14ac:dyDescent="0.3">
      <c r="A68" s="28"/>
      <c r="B68" s="25" t="s">
        <v>188</v>
      </c>
      <c r="C68" s="25" t="s">
        <v>228</v>
      </c>
      <c r="D68" s="29"/>
      <c r="E68" s="30"/>
      <c r="F68" s="31"/>
      <c r="G68" s="32"/>
      <c r="H68" s="31"/>
      <c r="I68" s="30"/>
    </row>
    <row r="69" spans="1:9" ht="18.75" customHeight="1" x14ac:dyDescent="0.3">
      <c r="A69" s="28"/>
      <c r="B69" s="25" t="s">
        <v>190</v>
      </c>
      <c r="C69" s="25" t="s">
        <v>191</v>
      </c>
      <c r="D69" s="29"/>
      <c r="E69" s="30"/>
      <c r="F69" s="31"/>
      <c r="G69" s="32"/>
      <c r="H69" s="31"/>
      <c r="I69" s="30"/>
    </row>
    <row r="70" spans="1:9" ht="18.75" customHeight="1" x14ac:dyDescent="0.3">
      <c r="A70" s="28"/>
      <c r="B70" s="25" t="s">
        <v>192</v>
      </c>
      <c r="C70" s="25" t="s">
        <v>229</v>
      </c>
      <c r="D70" s="29"/>
      <c r="E70" s="30"/>
      <c r="F70" s="31"/>
      <c r="G70" s="32"/>
      <c r="H70" s="31"/>
      <c r="I70" s="30"/>
    </row>
    <row r="71" spans="1:9" ht="18.75" customHeight="1" x14ac:dyDescent="0.3">
      <c r="A71" s="28"/>
      <c r="B71" s="25" t="s">
        <v>194</v>
      </c>
      <c r="C71" s="25" t="s">
        <v>195</v>
      </c>
      <c r="D71" s="29"/>
      <c r="E71" s="30"/>
      <c r="F71" s="31"/>
      <c r="G71" s="32"/>
      <c r="H71" s="31"/>
      <c r="I71" s="30"/>
    </row>
    <row r="72" spans="1:9" ht="18.75" customHeight="1" x14ac:dyDescent="0.3">
      <c r="A72" s="28"/>
      <c r="B72" s="25" t="s">
        <v>196</v>
      </c>
      <c r="C72" s="25" t="s">
        <v>224</v>
      </c>
      <c r="D72" s="29"/>
      <c r="E72" s="30"/>
      <c r="F72" s="31"/>
      <c r="G72" s="32"/>
      <c r="H72" s="31"/>
      <c r="I72" s="30"/>
    </row>
    <row r="73" spans="1:9" ht="18.75" customHeight="1" x14ac:dyDescent="0.3">
      <c r="A73" s="33" t="s">
        <v>238</v>
      </c>
      <c r="B73" s="26" t="s">
        <v>182</v>
      </c>
      <c r="C73" s="26" t="s">
        <v>224</v>
      </c>
      <c r="D73" s="34" t="s">
        <v>225</v>
      </c>
      <c r="E73" s="35" t="s">
        <v>239</v>
      </c>
      <c r="F73" s="31" t="s">
        <v>85</v>
      </c>
      <c r="G73" s="32" t="s">
        <v>186</v>
      </c>
      <c r="H73" s="31"/>
      <c r="I73" s="35" t="s">
        <v>240</v>
      </c>
    </row>
    <row r="74" spans="1:9" ht="18.75" customHeight="1" x14ac:dyDescent="0.3">
      <c r="A74" s="33"/>
      <c r="B74" s="26" t="s">
        <v>188</v>
      </c>
      <c r="C74" s="26" t="s">
        <v>224</v>
      </c>
      <c r="D74" s="34"/>
      <c r="E74" s="35"/>
      <c r="F74" s="31"/>
      <c r="G74" s="32"/>
      <c r="H74" s="31"/>
      <c r="I74" s="35"/>
    </row>
    <row r="75" spans="1:9" ht="18.75" customHeight="1" x14ac:dyDescent="0.3">
      <c r="A75" s="33"/>
      <c r="B75" s="26" t="s">
        <v>190</v>
      </c>
      <c r="C75" s="26" t="s">
        <v>224</v>
      </c>
      <c r="D75" s="34"/>
      <c r="E75" s="35"/>
      <c r="F75" s="31"/>
      <c r="G75" s="32"/>
      <c r="H75" s="31"/>
      <c r="I75" s="35"/>
    </row>
    <row r="76" spans="1:9" ht="18.75" customHeight="1" x14ac:dyDescent="0.3">
      <c r="A76" s="33"/>
      <c r="B76" s="26" t="s">
        <v>192</v>
      </c>
      <c r="C76" s="26" t="s">
        <v>224</v>
      </c>
      <c r="D76" s="34"/>
      <c r="E76" s="35"/>
      <c r="F76" s="31"/>
      <c r="G76" s="32"/>
      <c r="H76" s="31"/>
      <c r="I76" s="35"/>
    </row>
    <row r="77" spans="1:9" ht="18.75" customHeight="1" x14ac:dyDescent="0.3">
      <c r="A77" s="33"/>
      <c r="B77" s="26" t="s">
        <v>194</v>
      </c>
      <c r="C77" s="26" t="s">
        <v>195</v>
      </c>
      <c r="D77" s="34"/>
      <c r="E77" s="35"/>
      <c r="F77" s="31"/>
      <c r="G77" s="32"/>
      <c r="H77" s="31"/>
      <c r="I77" s="35"/>
    </row>
    <row r="78" spans="1:9" ht="18.75" customHeight="1" x14ac:dyDescent="0.3">
      <c r="A78" s="33"/>
      <c r="B78" s="26" t="s">
        <v>196</v>
      </c>
      <c r="C78" s="26" t="s">
        <v>224</v>
      </c>
      <c r="D78" s="34"/>
      <c r="E78" s="35"/>
      <c r="F78" s="31"/>
      <c r="G78" s="32"/>
      <c r="H78" s="31"/>
      <c r="I78" s="35"/>
    </row>
    <row r="79" spans="1:9" ht="18.75" customHeight="1" x14ac:dyDescent="0.3">
      <c r="A79" s="28" t="s">
        <v>241</v>
      </c>
      <c r="B79" s="25" t="s">
        <v>182</v>
      </c>
      <c r="C79" s="25" t="s">
        <v>183</v>
      </c>
      <c r="D79" s="29" t="s">
        <v>225</v>
      </c>
      <c r="E79" s="30" t="s">
        <v>242</v>
      </c>
      <c r="F79" s="31" t="s">
        <v>85</v>
      </c>
      <c r="G79" s="32" t="s">
        <v>186</v>
      </c>
      <c r="H79" s="31"/>
      <c r="I79" s="30" t="s">
        <v>243</v>
      </c>
    </row>
    <row r="80" spans="1:9" ht="18.75" customHeight="1" x14ac:dyDescent="0.3">
      <c r="A80" s="28"/>
      <c r="B80" s="25" t="s">
        <v>188</v>
      </c>
      <c r="C80" s="25" t="s">
        <v>228</v>
      </c>
      <c r="D80" s="29"/>
      <c r="E80" s="30"/>
      <c r="F80" s="31"/>
      <c r="G80" s="32"/>
      <c r="H80" s="31"/>
      <c r="I80" s="30"/>
    </row>
    <row r="81" spans="1:9" ht="18.75" customHeight="1" x14ac:dyDescent="0.3">
      <c r="A81" s="28"/>
      <c r="B81" s="25" t="s">
        <v>190</v>
      </c>
      <c r="C81" s="25" t="s">
        <v>191</v>
      </c>
      <c r="D81" s="29"/>
      <c r="E81" s="30"/>
      <c r="F81" s="31"/>
      <c r="G81" s="32"/>
      <c r="H81" s="31"/>
      <c r="I81" s="30"/>
    </row>
    <row r="82" spans="1:9" ht="18.75" customHeight="1" x14ac:dyDescent="0.3">
      <c r="A82" s="28"/>
      <c r="B82" s="25" t="s">
        <v>192</v>
      </c>
      <c r="C82" s="25" t="s">
        <v>244</v>
      </c>
      <c r="D82" s="29"/>
      <c r="E82" s="30"/>
      <c r="F82" s="31"/>
      <c r="G82" s="32"/>
      <c r="H82" s="31"/>
      <c r="I82" s="30"/>
    </row>
    <row r="83" spans="1:9" ht="18.75" customHeight="1" x14ac:dyDescent="0.3">
      <c r="A83" s="28"/>
      <c r="B83" s="25" t="s">
        <v>194</v>
      </c>
      <c r="C83" s="25" t="s">
        <v>195</v>
      </c>
      <c r="D83" s="29"/>
      <c r="E83" s="30"/>
      <c r="F83" s="31"/>
      <c r="G83" s="32"/>
      <c r="H83" s="31"/>
      <c r="I83" s="30"/>
    </row>
    <row r="84" spans="1:9" ht="18.75" customHeight="1" x14ac:dyDescent="0.3">
      <c r="A84" s="28"/>
      <c r="B84" s="25" t="s">
        <v>196</v>
      </c>
      <c r="C84" s="25" t="s">
        <v>197</v>
      </c>
      <c r="D84" s="29"/>
      <c r="E84" s="30"/>
      <c r="F84" s="31"/>
      <c r="G84" s="32"/>
      <c r="H84" s="31"/>
      <c r="I84" s="30"/>
    </row>
    <row r="85" spans="1:9" ht="18.75" customHeight="1" x14ac:dyDescent="0.3">
      <c r="A85" s="33" t="s">
        <v>245</v>
      </c>
      <c r="B85" s="26" t="s">
        <v>182</v>
      </c>
      <c r="C85" s="26" t="s">
        <v>183</v>
      </c>
      <c r="D85" s="34" t="s">
        <v>225</v>
      </c>
      <c r="E85" s="35" t="s">
        <v>246</v>
      </c>
      <c r="F85" s="31" t="s">
        <v>85</v>
      </c>
      <c r="G85" s="32" t="s">
        <v>186</v>
      </c>
      <c r="H85" s="31"/>
      <c r="I85" s="35" t="s">
        <v>247</v>
      </c>
    </row>
    <row r="86" spans="1:9" ht="18.75" customHeight="1" x14ac:dyDescent="0.3">
      <c r="A86" s="33"/>
      <c r="B86" s="26" t="s">
        <v>188</v>
      </c>
      <c r="C86" s="26" t="s">
        <v>228</v>
      </c>
      <c r="D86" s="34"/>
      <c r="E86" s="35"/>
      <c r="F86" s="31"/>
      <c r="G86" s="32"/>
      <c r="H86" s="31"/>
      <c r="I86" s="35"/>
    </row>
    <row r="87" spans="1:9" ht="18.75" customHeight="1" x14ac:dyDescent="0.3">
      <c r="A87" s="33"/>
      <c r="B87" s="26" t="s">
        <v>190</v>
      </c>
      <c r="C87" s="26" t="s">
        <v>191</v>
      </c>
      <c r="D87" s="34"/>
      <c r="E87" s="35"/>
      <c r="F87" s="31"/>
      <c r="G87" s="32"/>
      <c r="H87" s="31"/>
      <c r="I87" s="35"/>
    </row>
    <row r="88" spans="1:9" ht="18.75" customHeight="1" x14ac:dyDescent="0.3">
      <c r="A88" s="33"/>
      <c r="B88" s="26" t="s">
        <v>192</v>
      </c>
      <c r="C88" s="26" t="s">
        <v>229</v>
      </c>
      <c r="D88" s="34"/>
      <c r="E88" s="35"/>
      <c r="F88" s="31"/>
      <c r="G88" s="32"/>
      <c r="H88" s="31"/>
      <c r="I88" s="35"/>
    </row>
    <row r="89" spans="1:9" ht="18.75" customHeight="1" x14ac:dyDescent="0.3">
      <c r="A89" s="33"/>
      <c r="B89" s="26" t="s">
        <v>194</v>
      </c>
      <c r="C89" s="26" t="s">
        <v>195</v>
      </c>
      <c r="D89" s="34"/>
      <c r="E89" s="35"/>
      <c r="F89" s="31"/>
      <c r="G89" s="32"/>
      <c r="H89" s="31"/>
      <c r="I89" s="35"/>
    </row>
    <row r="90" spans="1:9" ht="18.75" customHeight="1" x14ac:dyDescent="0.3">
      <c r="A90" s="33"/>
      <c r="B90" s="26" t="s">
        <v>196</v>
      </c>
      <c r="C90" s="26" t="s">
        <v>248</v>
      </c>
      <c r="D90" s="34"/>
      <c r="E90" s="35"/>
      <c r="F90" s="31"/>
      <c r="G90" s="32"/>
      <c r="H90" s="31"/>
      <c r="I90" s="35"/>
    </row>
    <row r="91" spans="1:9" ht="18.75" customHeight="1" x14ac:dyDescent="0.3">
      <c r="A91" s="28" t="s">
        <v>249</v>
      </c>
      <c r="B91" s="25" t="s">
        <v>182</v>
      </c>
      <c r="C91" s="25" t="s">
        <v>183</v>
      </c>
      <c r="D91" s="29" t="s">
        <v>225</v>
      </c>
      <c r="E91" s="30" t="s">
        <v>250</v>
      </c>
      <c r="F91" s="31" t="s">
        <v>85</v>
      </c>
      <c r="G91" s="32" t="s">
        <v>186</v>
      </c>
      <c r="H91" s="31"/>
      <c r="I91" s="30" t="s">
        <v>247</v>
      </c>
    </row>
    <row r="92" spans="1:9" ht="18.75" customHeight="1" x14ac:dyDescent="0.3">
      <c r="A92" s="28"/>
      <c r="B92" s="25" t="s">
        <v>188</v>
      </c>
      <c r="C92" s="25" t="s">
        <v>228</v>
      </c>
      <c r="D92" s="29"/>
      <c r="E92" s="30"/>
      <c r="F92" s="31"/>
      <c r="G92" s="32"/>
      <c r="H92" s="31"/>
      <c r="I92" s="30"/>
    </row>
    <row r="93" spans="1:9" ht="18.75" customHeight="1" x14ac:dyDescent="0.3">
      <c r="A93" s="28"/>
      <c r="B93" s="25" t="s">
        <v>190</v>
      </c>
      <c r="C93" s="25" t="s">
        <v>191</v>
      </c>
      <c r="D93" s="29"/>
      <c r="E93" s="30"/>
      <c r="F93" s="31"/>
      <c r="G93" s="32"/>
      <c r="H93" s="31"/>
      <c r="I93" s="30"/>
    </row>
    <row r="94" spans="1:9" ht="18.75" customHeight="1" x14ac:dyDescent="0.3">
      <c r="A94" s="28"/>
      <c r="B94" s="25" t="s">
        <v>192</v>
      </c>
      <c r="C94" s="25" t="s">
        <v>229</v>
      </c>
      <c r="D94" s="29"/>
      <c r="E94" s="30"/>
      <c r="F94" s="31"/>
      <c r="G94" s="32"/>
      <c r="H94" s="31"/>
      <c r="I94" s="30"/>
    </row>
    <row r="95" spans="1:9" ht="18.75" customHeight="1" x14ac:dyDescent="0.3">
      <c r="A95" s="28"/>
      <c r="B95" s="25" t="s">
        <v>194</v>
      </c>
      <c r="C95" s="25" t="s">
        <v>195</v>
      </c>
      <c r="D95" s="29"/>
      <c r="E95" s="30"/>
      <c r="F95" s="31"/>
      <c r="G95" s="32"/>
      <c r="H95" s="31"/>
      <c r="I95" s="30"/>
    </row>
    <row r="96" spans="1:9" ht="18.75" customHeight="1" x14ac:dyDescent="0.3">
      <c r="A96" s="28"/>
      <c r="B96" s="25" t="s">
        <v>196</v>
      </c>
      <c r="C96" s="25" t="s">
        <v>251</v>
      </c>
      <c r="D96" s="29"/>
      <c r="E96" s="30"/>
      <c r="F96" s="31"/>
      <c r="G96" s="32"/>
      <c r="H96" s="31"/>
      <c r="I96" s="30"/>
    </row>
    <row r="97" spans="1:9" ht="18.75" customHeight="1" x14ac:dyDescent="0.3">
      <c r="A97" s="33" t="s">
        <v>252</v>
      </c>
      <c r="B97" s="26" t="s">
        <v>182</v>
      </c>
      <c r="C97" s="26" t="s">
        <v>253</v>
      </c>
      <c r="D97" s="34" t="s">
        <v>225</v>
      </c>
      <c r="E97" s="35" t="s">
        <v>254</v>
      </c>
      <c r="F97" s="31" t="s">
        <v>85</v>
      </c>
      <c r="G97" s="32" t="s">
        <v>186</v>
      </c>
      <c r="H97" s="31"/>
      <c r="I97" s="35" t="s">
        <v>255</v>
      </c>
    </row>
    <row r="98" spans="1:9" ht="18.75" customHeight="1" x14ac:dyDescent="0.3">
      <c r="A98" s="33"/>
      <c r="B98" s="26" t="s">
        <v>188</v>
      </c>
      <c r="C98" s="26" t="s">
        <v>189</v>
      </c>
      <c r="D98" s="34"/>
      <c r="E98" s="35"/>
      <c r="F98" s="31"/>
      <c r="G98" s="32"/>
      <c r="H98" s="31"/>
      <c r="I98" s="35"/>
    </row>
    <row r="99" spans="1:9" ht="18.75" customHeight="1" x14ac:dyDescent="0.3">
      <c r="A99" s="33"/>
      <c r="B99" s="26" t="s">
        <v>190</v>
      </c>
      <c r="C99" s="26" t="s">
        <v>256</v>
      </c>
      <c r="D99" s="34"/>
      <c r="E99" s="35"/>
      <c r="F99" s="31"/>
      <c r="G99" s="32"/>
      <c r="H99" s="31"/>
      <c r="I99" s="35"/>
    </row>
    <row r="100" spans="1:9" ht="18.75" customHeight="1" x14ac:dyDescent="0.3">
      <c r="A100" s="33"/>
      <c r="B100" s="26" t="s">
        <v>192</v>
      </c>
      <c r="C100" s="26" t="s">
        <v>257</v>
      </c>
      <c r="D100" s="34"/>
      <c r="E100" s="35"/>
      <c r="F100" s="31"/>
      <c r="G100" s="32"/>
      <c r="H100" s="31"/>
      <c r="I100" s="35"/>
    </row>
    <row r="101" spans="1:9" ht="18.75" customHeight="1" x14ac:dyDescent="0.3">
      <c r="A101" s="33"/>
      <c r="B101" s="26" t="s">
        <v>194</v>
      </c>
      <c r="C101" s="26" t="s">
        <v>195</v>
      </c>
      <c r="D101" s="34"/>
      <c r="E101" s="35"/>
      <c r="F101" s="31"/>
      <c r="G101" s="32"/>
      <c r="H101" s="31"/>
      <c r="I101" s="35"/>
    </row>
    <row r="102" spans="1:9" ht="18.75" customHeight="1" x14ac:dyDescent="0.3">
      <c r="A102" s="33"/>
      <c r="B102" s="26" t="s">
        <v>196</v>
      </c>
      <c r="C102" s="26" t="s">
        <v>197</v>
      </c>
      <c r="D102" s="34"/>
      <c r="E102" s="35"/>
      <c r="F102" s="31"/>
      <c r="G102" s="32"/>
      <c r="H102" s="31"/>
      <c r="I102" s="35"/>
    </row>
    <row r="103" spans="1:9" ht="18.75" customHeight="1" x14ac:dyDescent="0.3">
      <c r="A103" s="28" t="s">
        <v>258</v>
      </c>
      <c r="B103" s="25" t="s">
        <v>182</v>
      </c>
      <c r="C103" s="25" t="s">
        <v>259</v>
      </c>
      <c r="D103" s="29" t="s">
        <v>225</v>
      </c>
      <c r="E103" s="30" t="s">
        <v>254</v>
      </c>
      <c r="F103" s="31" t="s">
        <v>85</v>
      </c>
      <c r="G103" s="32" t="s">
        <v>186</v>
      </c>
      <c r="H103" s="31"/>
      <c r="I103" s="30" t="s">
        <v>260</v>
      </c>
    </row>
    <row r="104" spans="1:9" ht="18.75" customHeight="1" x14ac:dyDescent="0.3">
      <c r="A104" s="28"/>
      <c r="B104" s="25" t="s">
        <v>188</v>
      </c>
      <c r="C104" s="25" t="s">
        <v>261</v>
      </c>
      <c r="D104" s="29"/>
      <c r="E104" s="30"/>
      <c r="F104" s="31"/>
      <c r="G104" s="32"/>
      <c r="H104" s="31"/>
      <c r="I104" s="30"/>
    </row>
    <row r="105" spans="1:9" ht="18.75" customHeight="1" x14ac:dyDescent="0.3">
      <c r="A105" s="28"/>
      <c r="B105" s="25" t="s">
        <v>190</v>
      </c>
      <c r="C105" s="25" t="s">
        <v>262</v>
      </c>
      <c r="D105" s="29"/>
      <c r="E105" s="30"/>
      <c r="F105" s="31"/>
      <c r="G105" s="32"/>
      <c r="H105" s="31"/>
      <c r="I105" s="30"/>
    </row>
    <row r="106" spans="1:9" ht="18.75" customHeight="1" x14ac:dyDescent="0.3">
      <c r="A106" s="28"/>
      <c r="B106" s="25" t="s">
        <v>192</v>
      </c>
      <c r="C106" s="25" t="s">
        <v>263</v>
      </c>
      <c r="D106" s="29"/>
      <c r="E106" s="30"/>
      <c r="F106" s="31"/>
      <c r="G106" s="32"/>
      <c r="H106" s="31"/>
      <c r="I106" s="30"/>
    </row>
    <row r="107" spans="1:9" ht="18.75" customHeight="1" x14ac:dyDescent="0.3">
      <c r="A107" s="28"/>
      <c r="B107" s="25" t="s">
        <v>194</v>
      </c>
      <c r="C107" s="25" t="s">
        <v>195</v>
      </c>
      <c r="D107" s="29"/>
      <c r="E107" s="30"/>
      <c r="F107" s="31"/>
      <c r="G107" s="32"/>
      <c r="H107" s="31"/>
      <c r="I107" s="30"/>
    </row>
    <row r="108" spans="1:9" ht="18.75" customHeight="1" x14ac:dyDescent="0.3">
      <c r="A108" s="28"/>
      <c r="B108" s="25" t="s">
        <v>196</v>
      </c>
      <c r="C108" s="25" t="s">
        <v>197</v>
      </c>
      <c r="D108" s="29"/>
      <c r="E108" s="30"/>
      <c r="F108" s="31"/>
      <c r="G108" s="32"/>
      <c r="H108" s="31"/>
      <c r="I108" s="30"/>
    </row>
    <row r="109" spans="1:9" ht="18.75" customHeight="1" x14ac:dyDescent="0.3">
      <c r="A109" s="33" t="s">
        <v>264</v>
      </c>
      <c r="B109" s="26" t="s">
        <v>182</v>
      </c>
      <c r="C109" s="26" t="s">
        <v>265</v>
      </c>
      <c r="D109" s="34" t="s">
        <v>225</v>
      </c>
      <c r="E109" s="35" t="s">
        <v>254</v>
      </c>
      <c r="F109" s="31" t="s">
        <v>85</v>
      </c>
      <c r="G109" s="32" t="s">
        <v>186</v>
      </c>
      <c r="H109" s="31"/>
      <c r="I109" s="35" t="s">
        <v>266</v>
      </c>
    </row>
    <row r="110" spans="1:9" ht="18.75" customHeight="1" x14ac:dyDescent="0.3">
      <c r="A110" s="33"/>
      <c r="B110" s="26" t="s">
        <v>188</v>
      </c>
      <c r="C110" s="26" t="s">
        <v>189</v>
      </c>
      <c r="D110" s="34"/>
      <c r="E110" s="35"/>
      <c r="F110" s="31"/>
      <c r="G110" s="32"/>
      <c r="H110" s="31"/>
      <c r="I110" s="35"/>
    </row>
    <row r="111" spans="1:9" ht="18.75" customHeight="1" x14ac:dyDescent="0.3">
      <c r="A111" s="33"/>
      <c r="B111" s="26" t="s">
        <v>190</v>
      </c>
      <c r="C111" s="26" t="s">
        <v>267</v>
      </c>
      <c r="D111" s="34"/>
      <c r="E111" s="35"/>
      <c r="F111" s="31"/>
      <c r="G111" s="32"/>
      <c r="H111" s="31"/>
      <c r="I111" s="35"/>
    </row>
    <row r="112" spans="1:9" ht="18.75" customHeight="1" x14ac:dyDescent="0.3">
      <c r="A112" s="33"/>
      <c r="B112" s="26" t="s">
        <v>192</v>
      </c>
      <c r="C112" s="26" t="s">
        <v>268</v>
      </c>
      <c r="D112" s="34"/>
      <c r="E112" s="35"/>
      <c r="F112" s="31"/>
      <c r="G112" s="32"/>
      <c r="H112" s="31"/>
      <c r="I112" s="35"/>
    </row>
    <row r="113" spans="1:9" ht="18.75" customHeight="1" x14ac:dyDescent="0.3">
      <c r="A113" s="33"/>
      <c r="B113" s="26" t="s">
        <v>194</v>
      </c>
      <c r="C113" s="26" t="s">
        <v>214</v>
      </c>
      <c r="D113" s="34"/>
      <c r="E113" s="35"/>
      <c r="F113" s="31"/>
      <c r="G113" s="32"/>
      <c r="H113" s="31"/>
      <c r="I113" s="35"/>
    </row>
    <row r="114" spans="1:9" ht="18.75" customHeight="1" x14ac:dyDescent="0.3">
      <c r="A114" s="33"/>
      <c r="B114" s="26" t="s">
        <v>196</v>
      </c>
      <c r="C114" s="26" t="s">
        <v>197</v>
      </c>
      <c r="D114" s="34"/>
      <c r="E114" s="35"/>
      <c r="F114" s="31"/>
      <c r="G114" s="32"/>
      <c r="H114" s="31"/>
      <c r="I114" s="35"/>
    </row>
    <row r="115" spans="1:9" ht="30" customHeight="1" x14ac:dyDescent="0.3">
      <c r="A115" s="36" t="s">
        <v>269</v>
      </c>
      <c r="B115" s="36"/>
      <c r="C115" s="36"/>
      <c r="D115" s="36"/>
      <c r="E115" s="36"/>
      <c r="F115" s="36"/>
      <c r="G115" s="36"/>
      <c r="H115" s="36"/>
      <c r="I115" s="36"/>
    </row>
    <row r="116" spans="1:9" ht="20.25" customHeight="1" x14ac:dyDescent="0.3">
      <c r="A116" s="28" t="s">
        <v>270</v>
      </c>
      <c r="B116" s="25" t="s">
        <v>182</v>
      </c>
      <c r="C116" s="25" t="s">
        <v>271</v>
      </c>
      <c r="D116" s="29" t="s">
        <v>225</v>
      </c>
      <c r="E116" s="30" t="s">
        <v>272</v>
      </c>
      <c r="F116" s="31" t="s">
        <v>85</v>
      </c>
      <c r="G116" s="32" t="s">
        <v>273</v>
      </c>
      <c r="H116" s="31"/>
      <c r="I116" s="30" t="s">
        <v>274</v>
      </c>
    </row>
    <row r="117" spans="1:9" ht="20.25" customHeight="1" x14ac:dyDescent="0.3">
      <c r="A117" s="28"/>
      <c r="B117" s="25" t="s">
        <v>188</v>
      </c>
      <c r="C117" s="25" t="s">
        <v>275</v>
      </c>
      <c r="D117" s="29"/>
      <c r="E117" s="30"/>
      <c r="F117" s="31"/>
      <c r="G117" s="32"/>
      <c r="H117" s="31"/>
      <c r="I117" s="30"/>
    </row>
    <row r="118" spans="1:9" ht="20.25" customHeight="1" x14ac:dyDescent="0.3">
      <c r="A118" s="28"/>
      <c r="B118" s="25" t="s">
        <v>190</v>
      </c>
      <c r="C118" s="25" t="s">
        <v>276</v>
      </c>
      <c r="D118" s="29"/>
      <c r="E118" s="30"/>
      <c r="F118" s="31"/>
      <c r="G118" s="32"/>
      <c r="H118" s="31"/>
      <c r="I118" s="30"/>
    </row>
    <row r="119" spans="1:9" ht="20.25" customHeight="1" x14ac:dyDescent="0.3">
      <c r="A119" s="28"/>
      <c r="B119" s="25" t="s">
        <v>192</v>
      </c>
      <c r="C119" s="25" t="s">
        <v>277</v>
      </c>
      <c r="D119" s="29"/>
      <c r="E119" s="30"/>
      <c r="F119" s="31"/>
      <c r="G119" s="32"/>
      <c r="H119" s="31"/>
      <c r="I119" s="30"/>
    </row>
    <row r="120" spans="1:9" ht="20.25" customHeight="1" x14ac:dyDescent="0.3">
      <c r="A120" s="28"/>
      <c r="B120" s="25" t="s">
        <v>194</v>
      </c>
      <c r="C120" s="25" t="s">
        <v>195</v>
      </c>
      <c r="D120" s="29"/>
      <c r="E120" s="30"/>
      <c r="F120" s="31"/>
      <c r="G120" s="32"/>
      <c r="H120" s="31"/>
      <c r="I120" s="30"/>
    </row>
    <row r="121" spans="1:9" ht="20.25" customHeight="1" x14ac:dyDescent="0.3">
      <c r="A121" s="28"/>
      <c r="B121" s="25" t="s">
        <v>196</v>
      </c>
      <c r="C121" s="25" t="s">
        <v>197</v>
      </c>
      <c r="D121" s="29"/>
      <c r="E121" s="30"/>
      <c r="F121" s="31"/>
      <c r="G121" s="32"/>
      <c r="H121" s="31"/>
      <c r="I121" s="30"/>
    </row>
    <row r="122" spans="1:9" ht="20.25" customHeight="1" x14ac:dyDescent="0.3">
      <c r="A122" s="33" t="s">
        <v>278</v>
      </c>
      <c r="B122" s="26" t="s">
        <v>182</v>
      </c>
      <c r="C122" s="26" t="s">
        <v>279</v>
      </c>
      <c r="D122" s="34" t="s">
        <v>225</v>
      </c>
      <c r="E122" s="35" t="s">
        <v>280</v>
      </c>
      <c r="F122" s="31" t="s">
        <v>86</v>
      </c>
      <c r="G122" s="32" t="s">
        <v>281</v>
      </c>
      <c r="H122" s="31" t="s">
        <v>282</v>
      </c>
      <c r="I122" s="35" t="s">
        <v>283</v>
      </c>
    </row>
    <row r="123" spans="1:9" ht="20.25" customHeight="1" x14ac:dyDescent="0.3">
      <c r="A123" s="33"/>
      <c r="B123" s="26" t="s">
        <v>188</v>
      </c>
      <c r="C123" s="26" t="s">
        <v>284</v>
      </c>
      <c r="D123" s="34"/>
      <c r="E123" s="35"/>
      <c r="F123" s="31"/>
      <c r="G123" s="32"/>
      <c r="H123" s="31"/>
      <c r="I123" s="35"/>
    </row>
    <row r="124" spans="1:9" ht="20.25" customHeight="1" x14ac:dyDescent="0.3">
      <c r="A124" s="33"/>
      <c r="B124" s="26" t="s">
        <v>190</v>
      </c>
      <c r="C124" s="26" t="s">
        <v>285</v>
      </c>
      <c r="D124" s="34"/>
      <c r="E124" s="35"/>
      <c r="F124" s="31"/>
      <c r="G124" s="32"/>
      <c r="H124" s="31"/>
      <c r="I124" s="35"/>
    </row>
    <row r="125" spans="1:9" ht="20.25" customHeight="1" x14ac:dyDescent="0.3">
      <c r="A125" s="33"/>
      <c r="B125" s="26" t="s">
        <v>192</v>
      </c>
      <c r="C125" s="26" t="s">
        <v>193</v>
      </c>
      <c r="D125" s="34"/>
      <c r="E125" s="35"/>
      <c r="F125" s="31"/>
      <c r="G125" s="32"/>
      <c r="H125" s="31"/>
      <c r="I125" s="35"/>
    </row>
    <row r="126" spans="1:9" ht="20.25" customHeight="1" x14ac:dyDescent="0.3">
      <c r="A126" s="33"/>
      <c r="B126" s="26" t="s">
        <v>194</v>
      </c>
      <c r="C126" s="26" t="s">
        <v>195</v>
      </c>
      <c r="D126" s="34"/>
      <c r="E126" s="35"/>
      <c r="F126" s="31"/>
      <c r="G126" s="32"/>
      <c r="H126" s="31"/>
      <c r="I126" s="35"/>
    </row>
    <row r="127" spans="1:9" ht="20.25" customHeight="1" x14ac:dyDescent="0.3">
      <c r="A127" s="33"/>
      <c r="B127" s="26" t="s">
        <v>196</v>
      </c>
      <c r="C127" s="26" t="s">
        <v>197</v>
      </c>
      <c r="D127" s="34"/>
      <c r="E127" s="35"/>
      <c r="F127" s="31"/>
      <c r="G127" s="32"/>
      <c r="H127" s="31"/>
      <c r="I127" s="35"/>
    </row>
    <row r="128" spans="1:9" ht="31.5" customHeight="1" x14ac:dyDescent="0.3">
      <c r="A128" s="28" t="s">
        <v>286</v>
      </c>
      <c r="B128" s="25" t="s">
        <v>287</v>
      </c>
      <c r="C128" s="25" t="s">
        <v>288</v>
      </c>
      <c r="D128" s="29" t="s">
        <v>225</v>
      </c>
      <c r="E128" s="30" t="s">
        <v>289</v>
      </c>
      <c r="F128" s="31" t="s">
        <v>85</v>
      </c>
      <c r="G128" s="32" t="s">
        <v>290</v>
      </c>
      <c r="H128" s="31"/>
      <c r="I128" s="30" t="s">
        <v>291</v>
      </c>
    </row>
    <row r="129" spans="1:9" ht="31.5" customHeight="1" x14ac:dyDescent="0.3">
      <c r="A129" s="28"/>
      <c r="B129" s="25" t="s">
        <v>292</v>
      </c>
      <c r="C129" s="25" t="s">
        <v>293</v>
      </c>
      <c r="D129" s="29"/>
      <c r="E129" s="30"/>
      <c r="F129" s="31"/>
      <c r="G129" s="32"/>
      <c r="H129" s="31"/>
      <c r="I129" s="30"/>
    </row>
    <row r="130" spans="1:9" ht="57.75" customHeight="1" x14ac:dyDescent="0.3">
      <c r="A130" s="28"/>
      <c r="B130" s="25" t="s">
        <v>294</v>
      </c>
      <c r="C130" s="25" t="s">
        <v>295</v>
      </c>
      <c r="D130" s="29"/>
      <c r="E130" s="30"/>
      <c r="F130" s="31"/>
      <c r="G130" s="32"/>
      <c r="H130" s="31"/>
      <c r="I130" s="30"/>
    </row>
    <row r="131" spans="1:9" ht="22.5" customHeight="1" x14ac:dyDescent="0.3">
      <c r="A131" s="33" t="s">
        <v>296</v>
      </c>
      <c r="B131" s="26" t="s">
        <v>182</v>
      </c>
      <c r="C131" s="26" t="s">
        <v>297</v>
      </c>
      <c r="D131" s="34" t="s">
        <v>225</v>
      </c>
      <c r="E131" s="35" t="s">
        <v>298</v>
      </c>
      <c r="F131" s="31" t="s">
        <v>86</v>
      </c>
      <c r="G131" s="32" t="s">
        <v>299</v>
      </c>
      <c r="H131" s="31" t="s">
        <v>300</v>
      </c>
      <c r="I131" s="35" t="s">
        <v>301</v>
      </c>
    </row>
    <row r="132" spans="1:9" ht="22.5" customHeight="1" x14ac:dyDescent="0.3">
      <c r="A132" s="33"/>
      <c r="B132" s="26" t="s">
        <v>188</v>
      </c>
      <c r="C132" s="26" t="s">
        <v>302</v>
      </c>
      <c r="D132" s="34"/>
      <c r="E132" s="35"/>
      <c r="F132" s="31"/>
      <c r="G132" s="32"/>
      <c r="H132" s="31"/>
      <c r="I132" s="35"/>
    </row>
    <row r="133" spans="1:9" ht="22.5" customHeight="1" x14ac:dyDescent="0.3">
      <c r="A133" s="33"/>
      <c r="B133" s="26" t="s">
        <v>190</v>
      </c>
      <c r="C133" s="26" t="s">
        <v>303</v>
      </c>
      <c r="D133" s="34"/>
      <c r="E133" s="35"/>
      <c r="F133" s="31"/>
      <c r="G133" s="32"/>
      <c r="H133" s="31"/>
      <c r="I133" s="35"/>
    </row>
    <row r="134" spans="1:9" ht="22.5" customHeight="1" x14ac:dyDescent="0.3">
      <c r="A134" s="33"/>
      <c r="B134" s="26" t="s">
        <v>192</v>
      </c>
      <c r="C134" s="26" t="s">
        <v>304</v>
      </c>
      <c r="D134" s="34"/>
      <c r="E134" s="35"/>
      <c r="F134" s="31"/>
      <c r="G134" s="32"/>
      <c r="H134" s="31"/>
      <c r="I134" s="35"/>
    </row>
    <row r="135" spans="1:9" ht="22.5" customHeight="1" x14ac:dyDescent="0.3">
      <c r="A135" s="33"/>
      <c r="B135" s="26" t="s">
        <v>194</v>
      </c>
      <c r="C135" s="26" t="s">
        <v>195</v>
      </c>
      <c r="D135" s="34"/>
      <c r="E135" s="35"/>
      <c r="F135" s="31"/>
      <c r="G135" s="32"/>
      <c r="H135" s="31"/>
      <c r="I135" s="35"/>
    </row>
    <row r="136" spans="1:9" ht="22.5" customHeight="1" x14ac:dyDescent="0.3">
      <c r="A136" s="33"/>
      <c r="B136" s="26" t="s">
        <v>196</v>
      </c>
      <c r="C136" s="26" t="s">
        <v>197</v>
      </c>
      <c r="D136" s="34"/>
      <c r="E136" s="35"/>
      <c r="F136" s="31"/>
      <c r="G136" s="32"/>
      <c r="H136" s="31"/>
      <c r="I136" s="35"/>
    </row>
    <row r="137" spans="1:9" ht="18.75" customHeight="1" x14ac:dyDescent="0.3">
      <c r="A137" s="28" t="s">
        <v>305</v>
      </c>
      <c r="B137" s="25" t="s">
        <v>182</v>
      </c>
      <c r="C137" s="25" t="s">
        <v>297</v>
      </c>
      <c r="D137" s="29" t="s">
        <v>225</v>
      </c>
      <c r="E137" s="30" t="s">
        <v>306</v>
      </c>
      <c r="F137" s="31" t="s">
        <v>85</v>
      </c>
      <c r="G137" s="32" t="s">
        <v>307</v>
      </c>
      <c r="H137" s="31"/>
      <c r="I137" s="30" t="s">
        <v>308</v>
      </c>
    </row>
    <row r="138" spans="1:9" ht="18.75" customHeight="1" x14ac:dyDescent="0.3">
      <c r="A138" s="28"/>
      <c r="B138" s="25" t="s">
        <v>188</v>
      </c>
      <c r="C138" s="25" t="s">
        <v>309</v>
      </c>
      <c r="D138" s="29"/>
      <c r="E138" s="30"/>
      <c r="F138" s="31"/>
      <c r="G138" s="32"/>
      <c r="H138" s="31"/>
      <c r="I138" s="30"/>
    </row>
    <row r="139" spans="1:9" ht="18.75" customHeight="1" x14ac:dyDescent="0.3">
      <c r="A139" s="28"/>
      <c r="B139" s="25" t="s">
        <v>190</v>
      </c>
      <c r="C139" s="25" t="s">
        <v>310</v>
      </c>
      <c r="D139" s="29"/>
      <c r="E139" s="30"/>
      <c r="F139" s="31"/>
      <c r="G139" s="32"/>
      <c r="H139" s="31"/>
      <c r="I139" s="30"/>
    </row>
    <row r="140" spans="1:9" ht="18.75" customHeight="1" x14ac:dyDescent="0.3">
      <c r="A140" s="28"/>
      <c r="B140" s="25" t="s">
        <v>192</v>
      </c>
      <c r="C140" s="25" t="s">
        <v>304</v>
      </c>
      <c r="D140" s="29"/>
      <c r="E140" s="30"/>
      <c r="F140" s="31"/>
      <c r="G140" s="32"/>
      <c r="H140" s="31"/>
      <c r="I140" s="30"/>
    </row>
    <row r="141" spans="1:9" ht="18.75" customHeight="1" x14ac:dyDescent="0.3">
      <c r="A141" s="28"/>
      <c r="B141" s="25" t="s">
        <v>194</v>
      </c>
      <c r="C141" s="25" t="s">
        <v>195</v>
      </c>
      <c r="D141" s="29"/>
      <c r="E141" s="30"/>
      <c r="F141" s="31"/>
      <c r="G141" s="32"/>
      <c r="H141" s="31"/>
      <c r="I141" s="30"/>
    </row>
    <row r="142" spans="1:9" ht="18.75" customHeight="1" x14ac:dyDescent="0.3">
      <c r="A142" s="28"/>
      <c r="B142" s="25" t="s">
        <v>196</v>
      </c>
      <c r="C142" s="25" t="s">
        <v>197</v>
      </c>
      <c r="D142" s="29"/>
      <c r="E142" s="30"/>
      <c r="F142" s="31"/>
      <c r="G142" s="32"/>
      <c r="H142" s="31"/>
      <c r="I142" s="30"/>
    </row>
    <row r="143" spans="1:9" ht="31.5" customHeight="1" x14ac:dyDescent="0.3">
      <c r="A143" s="33" t="s">
        <v>311</v>
      </c>
      <c r="B143" s="26" t="s">
        <v>182</v>
      </c>
      <c r="C143" s="26" t="s">
        <v>312</v>
      </c>
      <c r="D143" s="34" t="s">
        <v>225</v>
      </c>
      <c r="E143" s="35" t="s">
        <v>313</v>
      </c>
      <c r="F143" s="31" t="s">
        <v>85</v>
      </c>
      <c r="G143" s="32" t="s">
        <v>314</v>
      </c>
      <c r="H143" s="31"/>
      <c r="I143" s="35" t="s">
        <v>315</v>
      </c>
    </row>
    <row r="144" spans="1:9" ht="18.75" customHeight="1" x14ac:dyDescent="0.3">
      <c r="A144" s="33"/>
      <c r="B144" s="26" t="s">
        <v>188</v>
      </c>
      <c r="C144" s="26" t="s">
        <v>316</v>
      </c>
      <c r="D144" s="34"/>
      <c r="E144" s="35"/>
      <c r="F144" s="31"/>
      <c r="G144" s="32"/>
      <c r="H144" s="31"/>
      <c r="I144" s="35"/>
    </row>
    <row r="145" spans="1:9" ht="18.75" customHeight="1" x14ac:dyDescent="0.3">
      <c r="A145" s="33"/>
      <c r="B145" s="26" t="s">
        <v>190</v>
      </c>
      <c r="C145" s="26" t="s">
        <v>317</v>
      </c>
      <c r="D145" s="34"/>
      <c r="E145" s="35"/>
      <c r="F145" s="31"/>
      <c r="G145" s="32"/>
      <c r="H145" s="31"/>
      <c r="I145" s="35"/>
    </row>
    <row r="146" spans="1:9" ht="18.75" customHeight="1" x14ac:dyDescent="0.3">
      <c r="A146" s="33"/>
      <c r="B146" s="26" t="s">
        <v>192</v>
      </c>
      <c r="C146" s="26" t="s">
        <v>318</v>
      </c>
      <c r="D146" s="34"/>
      <c r="E146" s="35"/>
      <c r="F146" s="31"/>
      <c r="G146" s="32"/>
      <c r="H146" s="31"/>
      <c r="I146" s="35"/>
    </row>
    <row r="147" spans="1:9" ht="18.75" customHeight="1" x14ac:dyDescent="0.3">
      <c r="A147" s="33"/>
      <c r="B147" s="26" t="s">
        <v>194</v>
      </c>
      <c r="C147" s="26" t="s">
        <v>195</v>
      </c>
      <c r="D147" s="34"/>
      <c r="E147" s="35"/>
      <c r="F147" s="31"/>
      <c r="G147" s="32"/>
      <c r="H147" s="31"/>
      <c r="I147" s="35"/>
    </row>
    <row r="148" spans="1:9" ht="18.75" customHeight="1" x14ac:dyDescent="0.3">
      <c r="A148" s="33"/>
      <c r="B148" s="26" t="s">
        <v>196</v>
      </c>
      <c r="C148" s="26" t="s">
        <v>197</v>
      </c>
      <c r="D148" s="34"/>
      <c r="E148" s="35"/>
      <c r="F148" s="31"/>
      <c r="G148" s="32"/>
      <c r="H148" s="31"/>
      <c r="I148" s="35"/>
    </row>
    <row r="149" spans="1:9" ht="18.75" customHeight="1" x14ac:dyDescent="0.3">
      <c r="A149" s="28" t="s">
        <v>319</v>
      </c>
      <c r="B149" s="25" t="s">
        <v>182</v>
      </c>
      <c r="C149" s="25" t="s">
        <v>297</v>
      </c>
      <c r="D149" s="29" t="s">
        <v>225</v>
      </c>
      <c r="E149" s="30" t="s">
        <v>320</v>
      </c>
      <c r="F149" s="31" t="s">
        <v>85</v>
      </c>
      <c r="G149" s="32" t="s">
        <v>321</v>
      </c>
      <c r="H149" s="31"/>
      <c r="I149" s="30" t="s">
        <v>322</v>
      </c>
    </row>
    <row r="150" spans="1:9" ht="18.75" customHeight="1" x14ac:dyDescent="0.3">
      <c r="A150" s="28"/>
      <c r="B150" s="25" t="s">
        <v>188</v>
      </c>
      <c r="C150" s="25" t="s">
        <v>323</v>
      </c>
      <c r="D150" s="29"/>
      <c r="E150" s="30"/>
      <c r="F150" s="31"/>
      <c r="G150" s="32"/>
      <c r="H150" s="31"/>
      <c r="I150" s="30"/>
    </row>
    <row r="151" spans="1:9" ht="18.75" customHeight="1" x14ac:dyDescent="0.3">
      <c r="A151" s="28"/>
      <c r="B151" s="25" t="s">
        <v>190</v>
      </c>
      <c r="C151" s="25" t="s">
        <v>324</v>
      </c>
      <c r="D151" s="29"/>
      <c r="E151" s="30"/>
      <c r="F151" s="31"/>
      <c r="G151" s="32"/>
      <c r="H151" s="31"/>
      <c r="I151" s="30"/>
    </row>
    <row r="152" spans="1:9" ht="18.75" customHeight="1" x14ac:dyDescent="0.3">
      <c r="A152" s="28"/>
      <c r="B152" s="25" t="s">
        <v>192</v>
      </c>
      <c r="C152" s="25" t="s">
        <v>325</v>
      </c>
      <c r="D152" s="29"/>
      <c r="E152" s="30"/>
      <c r="F152" s="31"/>
      <c r="G152" s="32"/>
      <c r="H152" s="31"/>
      <c r="I152" s="30"/>
    </row>
    <row r="153" spans="1:9" ht="18.75" customHeight="1" x14ac:dyDescent="0.3">
      <c r="A153" s="28"/>
      <c r="B153" s="25" t="s">
        <v>194</v>
      </c>
      <c r="C153" s="25" t="s">
        <v>195</v>
      </c>
      <c r="D153" s="29"/>
      <c r="E153" s="30"/>
      <c r="F153" s="31"/>
      <c r="G153" s="32"/>
      <c r="H153" s="31"/>
      <c r="I153" s="30"/>
    </row>
    <row r="154" spans="1:9" ht="45" customHeight="1" x14ac:dyDescent="0.3">
      <c r="A154" s="28"/>
      <c r="B154" s="25" t="s">
        <v>196</v>
      </c>
      <c r="C154" s="25" t="s">
        <v>326</v>
      </c>
      <c r="D154" s="29"/>
      <c r="E154" s="30"/>
      <c r="F154" s="31"/>
      <c r="G154" s="32"/>
      <c r="H154" s="31"/>
      <c r="I154" s="30"/>
    </row>
    <row r="155" spans="1:9" ht="18.75" customHeight="1" x14ac:dyDescent="0.3">
      <c r="A155" s="33" t="s">
        <v>327</v>
      </c>
      <c r="B155" s="26" t="s">
        <v>182</v>
      </c>
      <c r="C155" s="26" t="s">
        <v>253</v>
      </c>
      <c r="D155" s="34" t="s">
        <v>225</v>
      </c>
      <c r="E155" s="35" t="s">
        <v>328</v>
      </c>
      <c r="F155" s="31" t="s">
        <v>85</v>
      </c>
      <c r="G155" s="32" t="s">
        <v>329</v>
      </c>
      <c r="H155" s="31"/>
      <c r="I155" s="35" t="s">
        <v>330</v>
      </c>
    </row>
    <row r="156" spans="1:9" ht="31.5" customHeight="1" x14ac:dyDescent="0.3">
      <c r="A156" s="33"/>
      <c r="B156" s="26" t="s">
        <v>188</v>
      </c>
      <c r="C156" s="26" t="s">
        <v>331</v>
      </c>
      <c r="D156" s="34"/>
      <c r="E156" s="35"/>
      <c r="F156" s="31"/>
      <c r="G156" s="32"/>
      <c r="H156" s="31"/>
      <c r="I156" s="35"/>
    </row>
    <row r="157" spans="1:9" ht="18.75" customHeight="1" x14ac:dyDescent="0.3">
      <c r="A157" s="33"/>
      <c r="B157" s="26" t="s">
        <v>190</v>
      </c>
      <c r="C157" s="26" t="s">
        <v>256</v>
      </c>
      <c r="D157" s="34"/>
      <c r="E157" s="35"/>
      <c r="F157" s="31"/>
      <c r="G157" s="32"/>
      <c r="H157" s="31"/>
      <c r="I157" s="35"/>
    </row>
    <row r="158" spans="1:9" ht="18.75" customHeight="1" x14ac:dyDescent="0.3">
      <c r="A158" s="33"/>
      <c r="B158" s="26" t="s">
        <v>192</v>
      </c>
      <c r="C158" s="26" t="s">
        <v>332</v>
      </c>
      <c r="D158" s="34"/>
      <c r="E158" s="35"/>
      <c r="F158" s="31"/>
      <c r="G158" s="32"/>
      <c r="H158" s="31"/>
      <c r="I158" s="35"/>
    </row>
    <row r="159" spans="1:9" ht="18.75" customHeight="1" x14ac:dyDescent="0.3">
      <c r="A159" s="33"/>
      <c r="B159" s="26" t="s">
        <v>194</v>
      </c>
      <c r="C159" s="26" t="s">
        <v>195</v>
      </c>
      <c r="D159" s="34"/>
      <c r="E159" s="35"/>
      <c r="F159" s="31"/>
      <c r="G159" s="32"/>
      <c r="H159" s="31"/>
      <c r="I159" s="35"/>
    </row>
    <row r="160" spans="1:9" ht="18.75" customHeight="1" x14ac:dyDescent="0.3">
      <c r="A160" s="33"/>
      <c r="B160" s="26" t="s">
        <v>196</v>
      </c>
      <c r="C160" s="26" t="s">
        <v>197</v>
      </c>
      <c r="D160" s="34"/>
      <c r="E160" s="35"/>
      <c r="F160" s="31"/>
      <c r="G160" s="32"/>
      <c r="H160" s="31"/>
      <c r="I160" s="35"/>
    </row>
    <row r="161" spans="1:9" ht="45" customHeight="1" x14ac:dyDescent="0.3">
      <c r="A161" s="28" t="s">
        <v>333</v>
      </c>
      <c r="B161" s="25" t="s">
        <v>287</v>
      </c>
      <c r="C161" s="25" t="s">
        <v>334</v>
      </c>
      <c r="D161" s="29" t="s">
        <v>225</v>
      </c>
      <c r="E161" s="30" t="s">
        <v>335</v>
      </c>
      <c r="F161" s="31" t="s">
        <v>85</v>
      </c>
      <c r="G161" s="32" t="s">
        <v>336</v>
      </c>
      <c r="H161" s="31"/>
      <c r="I161" s="30" t="s">
        <v>337</v>
      </c>
    </row>
    <row r="162" spans="1:9" ht="31.5" customHeight="1" x14ac:dyDescent="0.3">
      <c r="A162" s="28"/>
      <c r="B162" s="25" t="s">
        <v>292</v>
      </c>
      <c r="C162" s="25" t="s">
        <v>338</v>
      </c>
      <c r="D162" s="29"/>
      <c r="E162" s="30"/>
      <c r="F162" s="31"/>
      <c r="G162" s="32"/>
      <c r="H162" s="31"/>
      <c r="I162" s="30"/>
    </row>
    <row r="163" spans="1:9" ht="57.75" customHeight="1" x14ac:dyDescent="0.3">
      <c r="A163" s="28"/>
      <c r="B163" s="25" t="s">
        <v>294</v>
      </c>
      <c r="C163" s="25" t="s">
        <v>339</v>
      </c>
      <c r="D163" s="29"/>
      <c r="E163" s="30"/>
      <c r="F163" s="31"/>
      <c r="G163" s="32"/>
      <c r="H163" s="31"/>
      <c r="I163" s="30"/>
    </row>
  </sheetData>
  <mergeCells count="205">
    <mergeCell ref="A1:I1"/>
    <mergeCell ref="A2:I2"/>
    <mergeCell ref="A4:C4"/>
    <mergeCell ref="E4:G4"/>
    <mergeCell ref="B5:C5"/>
    <mergeCell ref="F5:G5"/>
    <mergeCell ref="B6:C6"/>
    <mergeCell ref="F6:G6"/>
    <mergeCell ref="B7:C7"/>
    <mergeCell ref="F7:G7"/>
    <mergeCell ref="B8:C8"/>
    <mergeCell ref="F8:G8"/>
    <mergeCell ref="B9:C9"/>
    <mergeCell ref="F9:G9"/>
    <mergeCell ref="B10:C10"/>
    <mergeCell ref="F10:G10"/>
    <mergeCell ref="A11:C11"/>
    <mergeCell ref="F11:G11"/>
    <mergeCell ref="B12:C12"/>
    <mergeCell ref="F12:G12"/>
    <mergeCell ref="B13:C13"/>
    <mergeCell ref="F13:G13"/>
    <mergeCell ref="B14:C14"/>
    <mergeCell ref="F14:G14"/>
    <mergeCell ref="B15:C15"/>
    <mergeCell ref="F15:G15"/>
    <mergeCell ref="B16:C16"/>
    <mergeCell ref="F16:G16"/>
    <mergeCell ref="A17:I17"/>
    <mergeCell ref="A19:A24"/>
    <mergeCell ref="D19:D24"/>
    <mergeCell ref="E19:E24"/>
    <mergeCell ref="F19:F24"/>
    <mergeCell ref="G19:G24"/>
    <mergeCell ref="H19:H24"/>
    <mergeCell ref="I19:I24"/>
    <mergeCell ref="A25:A30"/>
    <mergeCell ref="D25:D30"/>
    <mergeCell ref="E25:E30"/>
    <mergeCell ref="F25:F30"/>
    <mergeCell ref="G25:G30"/>
    <mergeCell ref="H25:H30"/>
    <mergeCell ref="I25:I30"/>
    <mergeCell ref="A31:A36"/>
    <mergeCell ref="D31:D36"/>
    <mergeCell ref="E31:E36"/>
    <mergeCell ref="F31:F36"/>
    <mergeCell ref="G31:G36"/>
    <mergeCell ref="H31:H36"/>
    <mergeCell ref="I31:I36"/>
    <mergeCell ref="A37:A42"/>
    <mergeCell ref="D37:D42"/>
    <mergeCell ref="E37:E42"/>
    <mergeCell ref="F37:F42"/>
    <mergeCell ref="G37:G42"/>
    <mergeCell ref="H37:H42"/>
    <mergeCell ref="I37:I42"/>
    <mergeCell ref="A43:A48"/>
    <mergeCell ref="D43:D48"/>
    <mergeCell ref="E43:E48"/>
    <mergeCell ref="F43:F48"/>
    <mergeCell ref="G43:G48"/>
    <mergeCell ref="H43:H48"/>
    <mergeCell ref="I43:I48"/>
    <mergeCell ref="A49:A54"/>
    <mergeCell ref="D49:D54"/>
    <mergeCell ref="E49:E54"/>
    <mergeCell ref="F49:F54"/>
    <mergeCell ref="G49:G54"/>
    <mergeCell ref="H49:H54"/>
    <mergeCell ref="I49:I54"/>
    <mergeCell ref="A55:A60"/>
    <mergeCell ref="D55:D60"/>
    <mergeCell ref="E55:E60"/>
    <mergeCell ref="F55:F60"/>
    <mergeCell ref="G55:G60"/>
    <mergeCell ref="H55:H60"/>
    <mergeCell ref="I55:I60"/>
    <mergeCell ref="A61:A66"/>
    <mergeCell ref="D61:D66"/>
    <mergeCell ref="E61:E66"/>
    <mergeCell ref="F61:F66"/>
    <mergeCell ref="G61:G66"/>
    <mergeCell ref="H61:H66"/>
    <mergeCell ref="I61:I66"/>
    <mergeCell ref="A67:A72"/>
    <mergeCell ref="D67:D72"/>
    <mergeCell ref="E67:E72"/>
    <mergeCell ref="F67:F72"/>
    <mergeCell ref="G67:G72"/>
    <mergeCell ref="H67:H72"/>
    <mergeCell ref="I67:I72"/>
    <mergeCell ref="A73:A78"/>
    <mergeCell ref="D73:D78"/>
    <mergeCell ref="E73:E78"/>
    <mergeCell ref="F73:F78"/>
    <mergeCell ref="G73:G78"/>
    <mergeCell ref="H73:H78"/>
    <mergeCell ref="I73:I78"/>
    <mergeCell ref="A79:A84"/>
    <mergeCell ref="D79:D84"/>
    <mergeCell ref="E79:E84"/>
    <mergeCell ref="F79:F84"/>
    <mergeCell ref="G79:G84"/>
    <mergeCell ref="H79:H84"/>
    <mergeCell ref="I79:I84"/>
    <mergeCell ref="A85:A90"/>
    <mergeCell ref="D85:D90"/>
    <mergeCell ref="E85:E90"/>
    <mergeCell ref="F85:F90"/>
    <mergeCell ref="G85:G90"/>
    <mergeCell ref="H85:H90"/>
    <mergeCell ref="I85:I90"/>
    <mergeCell ref="A91:A96"/>
    <mergeCell ref="D91:D96"/>
    <mergeCell ref="E91:E96"/>
    <mergeCell ref="F91:F96"/>
    <mergeCell ref="G91:G96"/>
    <mergeCell ref="H91:H96"/>
    <mergeCell ref="I91:I96"/>
    <mergeCell ref="A97:A102"/>
    <mergeCell ref="D97:D102"/>
    <mergeCell ref="E97:E102"/>
    <mergeCell ref="F97:F102"/>
    <mergeCell ref="G97:G102"/>
    <mergeCell ref="H97:H102"/>
    <mergeCell ref="I97:I102"/>
    <mergeCell ref="A103:A108"/>
    <mergeCell ref="D103:D108"/>
    <mergeCell ref="E103:E108"/>
    <mergeCell ref="F103:F108"/>
    <mergeCell ref="G103:G108"/>
    <mergeCell ref="H103:H108"/>
    <mergeCell ref="I103:I108"/>
    <mergeCell ref="A109:A114"/>
    <mergeCell ref="D109:D114"/>
    <mergeCell ref="E109:E114"/>
    <mergeCell ref="F109:F114"/>
    <mergeCell ref="G109:G114"/>
    <mergeCell ref="H109:H114"/>
    <mergeCell ref="I109:I114"/>
    <mergeCell ref="A115:I115"/>
    <mergeCell ref="A116:A121"/>
    <mergeCell ref="D116:D121"/>
    <mergeCell ref="E116:E121"/>
    <mergeCell ref="F116:F121"/>
    <mergeCell ref="G116:G121"/>
    <mergeCell ref="H116:H121"/>
    <mergeCell ref="I116:I121"/>
    <mergeCell ref="A122:A127"/>
    <mergeCell ref="D122:D127"/>
    <mergeCell ref="E122:E127"/>
    <mergeCell ref="F122:F127"/>
    <mergeCell ref="G122:G127"/>
    <mergeCell ref="H122:H127"/>
    <mergeCell ref="I122:I127"/>
    <mergeCell ref="A128:A130"/>
    <mergeCell ref="D128:D130"/>
    <mergeCell ref="E128:E130"/>
    <mergeCell ref="F128:F130"/>
    <mergeCell ref="G128:G130"/>
    <mergeCell ref="H128:H130"/>
    <mergeCell ref="I128:I130"/>
    <mergeCell ref="A131:A136"/>
    <mergeCell ref="D131:D136"/>
    <mergeCell ref="E131:E136"/>
    <mergeCell ref="F131:F136"/>
    <mergeCell ref="G131:G136"/>
    <mergeCell ref="H131:H136"/>
    <mergeCell ref="I131:I136"/>
    <mergeCell ref="A137:A142"/>
    <mergeCell ref="D137:D142"/>
    <mergeCell ref="E137:E142"/>
    <mergeCell ref="F137:F142"/>
    <mergeCell ref="G137:G142"/>
    <mergeCell ref="H137:H142"/>
    <mergeCell ref="I137:I142"/>
    <mergeCell ref="A143:A148"/>
    <mergeCell ref="D143:D148"/>
    <mergeCell ref="E143:E148"/>
    <mergeCell ref="F143:F148"/>
    <mergeCell ref="G143:G148"/>
    <mergeCell ref="H143:H148"/>
    <mergeCell ref="I143:I148"/>
    <mergeCell ref="A161:A163"/>
    <mergeCell ref="D161:D163"/>
    <mergeCell ref="E161:E163"/>
    <mergeCell ref="F161:F163"/>
    <mergeCell ref="G161:G163"/>
    <mergeCell ref="H161:H163"/>
    <mergeCell ref="I161:I163"/>
    <mergeCell ref="A149:A154"/>
    <mergeCell ref="D149:D154"/>
    <mergeCell ref="E149:E154"/>
    <mergeCell ref="F149:F154"/>
    <mergeCell ref="G149:G154"/>
    <mergeCell ref="H149:H154"/>
    <mergeCell ref="I149:I154"/>
    <mergeCell ref="A155:A160"/>
    <mergeCell ref="D155:D160"/>
    <mergeCell ref="E155:E160"/>
    <mergeCell ref="F155:F160"/>
    <mergeCell ref="G155:G160"/>
    <mergeCell ref="H155:H160"/>
    <mergeCell ref="I155:I160"/>
  </mergeCells>
  <conditionalFormatting sqref="F19:F163">
    <cfRule type="cellIs" dxfId="17" priority="2" operator="equal">
      <formula>"OK"</formula>
    </cfRule>
    <cfRule type="cellIs" dxfId="16" priority="3" operator="equal">
      <formula>"NOK"</formula>
    </cfRule>
  </conditionalFormatting>
  <dataValidations count="4">
    <dataValidation type="list" allowBlank="1" sqref="B10" xr:uid="{00000000-0002-0000-0300-000000000000}">
      <formula1>"Unitaria,Integración,Funcional,Aceptación,Regresión,No funcional"</formula1>
      <formula2>0</formula2>
    </dataValidation>
    <dataValidation type="list" allowBlank="1" sqref="D19:D163" xr:uid="{00000000-0002-0000-0300-000001000000}">
      <formula1>"Positivo (+),Negativo (-)"</formula1>
      <formula2>0</formula2>
    </dataValidation>
    <dataValidation type="list" allowBlank="1" sqref="F19:F163" xr:uid="{00000000-0002-0000-0300-000002000000}">
      <formula1>"OK,NOK"</formula1>
      <formula2>0</formula2>
    </dataValidation>
    <dataValidation type="list" allowBlank="1" sqref="H19:H163" xr:uid="{00000000-0002-0000-0300-000003000000}">
      <formula1>"Baja,Media,Alta"</formula1>
      <formula2>0</formula2>
    </dataValidation>
  </dataValidations>
  <hyperlinks>
    <hyperlink ref="G19" r:id="rId1" xr:uid="{00000000-0004-0000-0300-000000000000}"/>
    <hyperlink ref="G25" r:id="rId2" xr:uid="{00000000-0004-0000-0300-000001000000}"/>
    <hyperlink ref="G31" r:id="rId3" xr:uid="{00000000-0004-0000-0300-000002000000}"/>
    <hyperlink ref="G37" r:id="rId4" xr:uid="{00000000-0004-0000-0300-000003000000}"/>
    <hyperlink ref="G43" r:id="rId5" xr:uid="{00000000-0004-0000-0300-000004000000}"/>
    <hyperlink ref="G49" r:id="rId6" xr:uid="{00000000-0004-0000-0300-000005000000}"/>
    <hyperlink ref="G55" r:id="rId7" xr:uid="{00000000-0004-0000-0300-000006000000}"/>
    <hyperlink ref="G61" r:id="rId8" xr:uid="{00000000-0004-0000-0300-000007000000}"/>
    <hyperlink ref="G67" r:id="rId9" xr:uid="{00000000-0004-0000-0300-000008000000}"/>
    <hyperlink ref="G73" r:id="rId10" xr:uid="{00000000-0004-0000-0300-000009000000}"/>
    <hyperlink ref="G79" r:id="rId11" xr:uid="{00000000-0004-0000-0300-00000A000000}"/>
    <hyperlink ref="G85" r:id="rId12" xr:uid="{00000000-0004-0000-0300-00000B000000}"/>
    <hyperlink ref="G91" r:id="rId13" xr:uid="{00000000-0004-0000-0300-00000C000000}"/>
    <hyperlink ref="G97" r:id="rId14" xr:uid="{00000000-0004-0000-0300-00000D000000}"/>
    <hyperlink ref="G103" r:id="rId15" xr:uid="{00000000-0004-0000-0300-00000E000000}"/>
    <hyperlink ref="G109" r:id="rId16" xr:uid="{00000000-0004-0000-0300-00000F000000}"/>
    <hyperlink ref="G116" r:id="rId17" xr:uid="{00000000-0004-0000-0300-000010000000}"/>
    <hyperlink ref="G122" r:id="rId18" xr:uid="{00000000-0004-0000-0300-000011000000}"/>
    <hyperlink ref="G128" r:id="rId19" xr:uid="{00000000-0004-0000-0300-000012000000}"/>
    <hyperlink ref="G131" r:id="rId20" xr:uid="{00000000-0004-0000-0300-000013000000}"/>
    <hyperlink ref="G137" r:id="rId21" xr:uid="{00000000-0004-0000-0300-000014000000}"/>
    <hyperlink ref="G143" r:id="rId22" xr:uid="{00000000-0004-0000-0300-000015000000}"/>
    <hyperlink ref="G149" r:id="rId23" xr:uid="{00000000-0004-0000-0300-000016000000}"/>
    <hyperlink ref="G155" r:id="rId24" xr:uid="{00000000-0004-0000-0300-000017000000}"/>
    <hyperlink ref="G161" r:id="rId25" xr:uid="{00000000-0004-0000-0300-000018000000}"/>
  </hyperlinks>
  <pageMargins left="0.75" right="0.75" top="1" bottom="1" header="0.511811023622047" footer="0.511811023622047"/>
  <pageSetup fitToHeight="0" orientation="landscape" horizontalDpi="300" verticalDpi="300"/>
  <drawing r:id="rId2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89"/>
  <sheetViews>
    <sheetView showGridLines="0" zoomScale="53" zoomScaleNormal="53" workbookViewId="0">
      <pane xSplit="1" ySplit="18" topLeftCell="B19" activePane="bottomRight" state="frozen"/>
      <selection pane="topRight" activeCell="B1" sqref="B1"/>
      <selection pane="bottomLeft" activeCell="A19" sqref="A19"/>
      <selection pane="bottomRight" activeCell="P66" sqref="P66"/>
    </sheetView>
  </sheetViews>
  <sheetFormatPr baseColWidth="10" defaultColWidth="8.6640625" defaultRowHeight="14.4" x14ac:dyDescent="0.3"/>
  <cols>
    <col min="1" max="1" width="34" customWidth="1"/>
    <col min="2" max="2" width="22" customWidth="1"/>
    <col min="3" max="3" width="40" customWidth="1"/>
    <col min="4" max="4" width="14" customWidth="1"/>
    <col min="5" max="5" width="52" customWidth="1"/>
    <col min="6" max="6" width="16" customWidth="1"/>
    <col min="7" max="7" width="36" customWidth="1"/>
    <col min="8" max="8" width="16" customWidth="1"/>
    <col min="9" max="9" width="46" customWidth="1"/>
  </cols>
  <sheetData>
    <row r="1" spans="1:9" ht="33.75" customHeight="1" x14ac:dyDescent="0.3">
      <c r="A1" s="45" t="s">
        <v>340</v>
      </c>
      <c r="B1" s="45"/>
      <c r="C1" s="45"/>
      <c r="D1" s="45"/>
      <c r="E1" s="45"/>
      <c r="F1" s="45"/>
      <c r="G1" s="45"/>
      <c r="H1" s="45"/>
      <c r="I1" s="45"/>
    </row>
    <row r="2" spans="1:9" ht="15" customHeight="1" x14ac:dyDescent="0.3">
      <c r="A2" s="46" t="s">
        <v>148</v>
      </c>
      <c r="B2" s="46"/>
      <c r="C2" s="46"/>
      <c r="D2" s="46"/>
      <c r="E2" s="46"/>
      <c r="F2" s="46"/>
      <c r="G2" s="46"/>
      <c r="H2" s="46"/>
      <c r="I2" s="46"/>
    </row>
    <row r="4" spans="1:9" ht="15" customHeight="1" x14ac:dyDescent="0.3">
      <c r="A4" s="47" t="s">
        <v>149</v>
      </c>
      <c r="B4" s="47"/>
      <c r="C4" s="47"/>
      <c r="E4" s="47" t="s">
        <v>68</v>
      </c>
      <c r="F4" s="47"/>
      <c r="G4" s="47"/>
    </row>
    <row r="5" spans="1:9" ht="15" customHeight="1" x14ac:dyDescent="0.3">
      <c r="A5" s="4" t="s">
        <v>150</v>
      </c>
      <c r="B5" s="42" t="s">
        <v>151</v>
      </c>
      <c r="C5" s="42"/>
      <c r="E5" s="22" t="s">
        <v>69</v>
      </c>
      <c r="F5" s="38">
        <f>COUNTIF(A19:A89,"HE?_HU?_CA?_CP???")</f>
        <v>14</v>
      </c>
      <c r="G5" s="38"/>
    </row>
    <row r="6" spans="1:9" ht="15" customHeight="1" x14ac:dyDescent="0.3">
      <c r="A6" s="4" t="s">
        <v>152</v>
      </c>
      <c r="B6" s="42" t="s">
        <v>341</v>
      </c>
      <c r="C6" s="42"/>
      <c r="E6" s="22" t="s">
        <v>154</v>
      </c>
      <c r="F6" s="38">
        <f>COUNTIF(F19:F89,"OK")+COUNTIF(F19:F89,"NOK")</f>
        <v>14</v>
      </c>
      <c r="G6" s="38"/>
    </row>
    <row r="7" spans="1:9" ht="15" customHeight="1" x14ac:dyDescent="0.3">
      <c r="A7" s="4" t="s">
        <v>155</v>
      </c>
      <c r="B7" s="42" t="s">
        <v>156</v>
      </c>
      <c r="C7" s="42"/>
      <c r="E7" s="22" t="s">
        <v>157</v>
      </c>
      <c r="F7" s="38">
        <f>COUNTIF(F19:F89,"OK")</f>
        <v>14</v>
      </c>
      <c r="G7" s="38"/>
    </row>
    <row r="8" spans="1:9" ht="15" customHeight="1" x14ac:dyDescent="0.3">
      <c r="A8" s="4" t="s">
        <v>158</v>
      </c>
      <c r="B8" s="42"/>
      <c r="C8" s="42"/>
      <c r="E8" s="22" t="s">
        <v>159</v>
      </c>
      <c r="F8" s="38">
        <f>COUNTIF(F19:F89,"NOK")</f>
        <v>0</v>
      </c>
      <c r="G8" s="38"/>
    </row>
    <row r="9" spans="1:9" ht="15" customHeight="1" x14ac:dyDescent="0.3">
      <c r="A9" s="4" t="s">
        <v>160</v>
      </c>
      <c r="B9" s="42"/>
      <c r="C9" s="42"/>
      <c r="E9" s="22" t="s">
        <v>132</v>
      </c>
      <c r="F9" s="43">
        <f>IF(F6=0,"Sin ejecutados",F7/F6)</f>
        <v>1</v>
      </c>
      <c r="G9" s="43"/>
    </row>
    <row r="10" spans="1:9" ht="15" customHeight="1" x14ac:dyDescent="0.3">
      <c r="A10" s="4" t="s">
        <v>161</v>
      </c>
      <c r="B10" s="42" t="s">
        <v>162</v>
      </c>
      <c r="C10" s="42"/>
      <c r="E10" s="22" t="s">
        <v>134</v>
      </c>
      <c r="F10" s="43">
        <f>IF(F6=0,"Sin ejecutados",F8/F6)</f>
        <v>0</v>
      </c>
      <c r="G10" s="43"/>
    </row>
    <row r="11" spans="1:9" ht="15" customHeight="1" x14ac:dyDescent="0.3">
      <c r="A11" s="44" t="s">
        <v>163</v>
      </c>
      <c r="B11" s="44"/>
      <c r="C11" s="44"/>
      <c r="E11" s="22" t="s">
        <v>164</v>
      </c>
      <c r="F11" s="38">
        <f>F5-F6</f>
        <v>0</v>
      </c>
      <c r="G11" s="38"/>
    </row>
    <row r="12" spans="1:9" ht="15" customHeight="1" x14ac:dyDescent="0.3">
      <c r="A12" s="4" t="s">
        <v>342</v>
      </c>
      <c r="B12" s="37">
        <f>COUNTIF(A19:A89,"*_CA1_*")</f>
        <v>4</v>
      </c>
      <c r="C12" s="37"/>
      <c r="E12" s="22" t="s">
        <v>166</v>
      </c>
      <c r="F12" s="38">
        <f>COUNTIF(D19:D89,"Positivo*")</f>
        <v>4</v>
      </c>
      <c r="G12" s="38"/>
    </row>
    <row r="13" spans="1:9" ht="15" customHeight="1" x14ac:dyDescent="0.3">
      <c r="A13" s="4" t="s">
        <v>343</v>
      </c>
      <c r="B13" s="37">
        <f>COUNTIF(A19:A89,"*_CA2_*")</f>
        <v>2</v>
      </c>
      <c r="C13" s="37"/>
      <c r="E13" s="22" t="s">
        <v>168</v>
      </c>
      <c r="F13" s="38">
        <f>COUNTIF(D19:D89,"Negativo*")</f>
        <v>10</v>
      </c>
      <c r="G13" s="38"/>
    </row>
    <row r="14" spans="1:9" ht="15" customHeight="1" x14ac:dyDescent="0.3">
      <c r="A14" s="4" t="s">
        <v>344</v>
      </c>
      <c r="B14" s="37">
        <f>COUNTIF(A19:A89,"*_CA3_*")</f>
        <v>8</v>
      </c>
      <c r="C14" s="37"/>
      <c r="E14" s="22" t="s">
        <v>170</v>
      </c>
      <c r="F14" s="38">
        <f>COUNTIFS(F19:F89,"NOK",H19:H89,"*Baja")</f>
        <v>0</v>
      </c>
      <c r="G14" s="38"/>
    </row>
    <row r="15" spans="1:9" ht="15" customHeight="1" x14ac:dyDescent="0.3">
      <c r="A15" s="23" t="s">
        <v>171</v>
      </c>
      <c r="B15" s="39">
        <f>COUNTIF(A19:A89,"*_CA4_*")</f>
        <v>0</v>
      </c>
      <c r="C15" s="39"/>
      <c r="E15" s="22" t="s">
        <v>172</v>
      </c>
      <c r="F15" s="38">
        <f>COUNTIFS(F19:F89,"NOK",H19:H89,"*Media")</f>
        <v>0</v>
      </c>
      <c r="G15" s="38"/>
    </row>
    <row r="16" spans="1:9" ht="15" customHeight="1" x14ac:dyDescent="0.3">
      <c r="A16" s="24" t="s">
        <v>173</v>
      </c>
      <c r="B16" s="40">
        <f>SUM(B12:B15)</f>
        <v>14</v>
      </c>
      <c r="C16" s="40"/>
      <c r="E16" s="22" t="s">
        <v>174</v>
      </c>
      <c r="F16" s="38">
        <f>COUNTIFS(F19:F89,"NOK",H19:H89,"*Alta")</f>
        <v>0</v>
      </c>
      <c r="G16" s="38"/>
    </row>
    <row r="17" spans="1:9" ht="15" customHeight="1" x14ac:dyDescent="0.3">
      <c r="A17" s="41" t="s">
        <v>175</v>
      </c>
      <c r="B17" s="41"/>
      <c r="C17" s="41"/>
      <c r="D17" s="41"/>
      <c r="E17" s="41"/>
      <c r="F17" s="41"/>
      <c r="G17" s="41"/>
      <c r="H17" s="41"/>
      <c r="I17" s="41"/>
    </row>
    <row r="18" spans="1:9" ht="33.75" customHeight="1" x14ac:dyDescent="0.3">
      <c r="A18" s="6" t="s">
        <v>16</v>
      </c>
      <c r="B18" s="6" t="s">
        <v>176</v>
      </c>
      <c r="C18" s="6" t="s">
        <v>177</v>
      </c>
      <c r="D18" s="6" t="s">
        <v>20</v>
      </c>
      <c r="E18" s="6" t="s">
        <v>22</v>
      </c>
      <c r="F18" s="6" t="s">
        <v>178</v>
      </c>
      <c r="G18" s="6" t="s">
        <v>179</v>
      </c>
      <c r="H18" s="6" t="s">
        <v>180</v>
      </c>
      <c r="I18" s="6" t="s">
        <v>24</v>
      </c>
    </row>
    <row r="19" spans="1:9" ht="27" customHeight="1" x14ac:dyDescent="0.3">
      <c r="A19" s="28" t="s">
        <v>345</v>
      </c>
      <c r="B19" s="25" t="s">
        <v>182</v>
      </c>
      <c r="C19" s="25" t="s">
        <v>183</v>
      </c>
      <c r="D19" s="29" t="s">
        <v>184</v>
      </c>
      <c r="E19" s="30" t="s">
        <v>346</v>
      </c>
      <c r="F19" s="31" t="s">
        <v>85</v>
      </c>
      <c r="G19" s="32" t="s">
        <v>347</v>
      </c>
      <c r="H19" s="31"/>
      <c r="I19" s="30" t="s">
        <v>348</v>
      </c>
    </row>
    <row r="20" spans="1:9" ht="27" customHeight="1" x14ac:dyDescent="0.3">
      <c r="A20" s="28"/>
      <c r="B20" s="25" t="s">
        <v>188</v>
      </c>
      <c r="C20" s="25" t="s">
        <v>189</v>
      </c>
      <c r="D20" s="29"/>
      <c r="E20" s="30"/>
      <c r="F20" s="31"/>
      <c r="G20" s="32"/>
      <c r="H20" s="31"/>
      <c r="I20" s="30"/>
    </row>
    <row r="21" spans="1:9" ht="27" customHeight="1" x14ac:dyDescent="0.3">
      <c r="A21" s="28"/>
      <c r="B21" s="25" t="s">
        <v>190</v>
      </c>
      <c r="C21" s="25" t="s">
        <v>349</v>
      </c>
      <c r="D21" s="29"/>
      <c r="E21" s="30"/>
      <c r="F21" s="31"/>
      <c r="G21" s="32"/>
      <c r="H21" s="31"/>
      <c r="I21" s="30"/>
    </row>
    <row r="22" spans="1:9" ht="27" customHeight="1" x14ac:dyDescent="0.3">
      <c r="A22" s="28"/>
      <c r="B22" s="25" t="s">
        <v>192</v>
      </c>
      <c r="C22" s="25" t="s">
        <v>193</v>
      </c>
      <c r="D22" s="29"/>
      <c r="E22" s="30"/>
      <c r="F22" s="31"/>
      <c r="G22" s="32"/>
      <c r="H22" s="31"/>
      <c r="I22" s="30"/>
    </row>
    <row r="23" spans="1:9" ht="27" customHeight="1" x14ac:dyDescent="0.3">
      <c r="A23" s="28"/>
      <c r="B23" s="25" t="s">
        <v>194</v>
      </c>
      <c r="C23" s="25" t="s">
        <v>195</v>
      </c>
      <c r="D23" s="29"/>
      <c r="E23" s="30"/>
      <c r="F23" s="31"/>
      <c r="G23" s="32"/>
      <c r="H23" s="31"/>
      <c r="I23" s="30"/>
    </row>
    <row r="24" spans="1:9" ht="27" customHeight="1" x14ac:dyDescent="0.3">
      <c r="A24" s="28"/>
      <c r="B24" s="25" t="s">
        <v>196</v>
      </c>
      <c r="C24" s="25" t="s">
        <v>350</v>
      </c>
      <c r="D24" s="29"/>
      <c r="E24" s="30"/>
      <c r="F24" s="31"/>
      <c r="G24" s="32"/>
      <c r="H24" s="31"/>
      <c r="I24" s="30"/>
    </row>
    <row r="25" spans="1:9" ht="22.5" customHeight="1" x14ac:dyDescent="0.3">
      <c r="A25" s="33" t="s">
        <v>351</v>
      </c>
      <c r="B25" s="26" t="s">
        <v>182</v>
      </c>
      <c r="C25" s="26" t="s">
        <v>352</v>
      </c>
      <c r="D25" s="34" t="s">
        <v>184</v>
      </c>
      <c r="E25" s="35" t="s">
        <v>346</v>
      </c>
      <c r="F25" s="31" t="s">
        <v>85</v>
      </c>
      <c r="G25" s="32" t="s">
        <v>347</v>
      </c>
      <c r="H25" s="31"/>
      <c r="I25" s="35" t="s">
        <v>353</v>
      </c>
    </row>
    <row r="26" spans="1:9" ht="22.5" customHeight="1" x14ac:dyDescent="0.3">
      <c r="A26" s="33"/>
      <c r="B26" s="26" t="s">
        <v>188</v>
      </c>
      <c r="C26" s="26" t="s">
        <v>202</v>
      </c>
      <c r="D26" s="34"/>
      <c r="E26" s="35"/>
      <c r="F26" s="31"/>
      <c r="G26" s="32"/>
      <c r="H26" s="31"/>
      <c r="I26" s="35"/>
    </row>
    <row r="27" spans="1:9" ht="22.5" customHeight="1" x14ac:dyDescent="0.3">
      <c r="A27" s="33"/>
      <c r="B27" s="26" t="s">
        <v>190</v>
      </c>
      <c r="C27" s="26" t="s">
        <v>203</v>
      </c>
      <c r="D27" s="34"/>
      <c r="E27" s="35"/>
      <c r="F27" s="31"/>
      <c r="G27" s="32"/>
      <c r="H27" s="31"/>
      <c r="I27" s="35"/>
    </row>
    <row r="28" spans="1:9" ht="22.5" customHeight="1" x14ac:dyDescent="0.3">
      <c r="A28" s="33"/>
      <c r="B28" s="26" t="s">
        <v>192</v>
      </c>
      <c r="C28" s="26" t="s">
        <v>354</v>
      </c>
      <c r="D28" s="34"/>
      <c r="E28" s="35"/>
      <c r="F28" s="31"/>
      <c r="G28" s="32"/>
      <c r="H28" s="31"/>
      <c r="I28" s="35"/>
    </row>
    <row r="29" spans="1:9" ht="22.5" customHeight="1" x14ac:dyDescent="0.3">
      <c r="A29" s="33"/>
      <c r="B29" s="26" t="s">
        <v>194</v>
      </c>
      <c r="C29" s="26" t="s">
        <v>205</v>
      </c>
      <c r="D29" s="34"/>
      <c r="E29" s="35"/>
      <c r="F29" s="31"/>
      <c r="G29" s="32"/>
      <c r="H29" s="31"/>
      <c r="I29" s="35"/>
    </row>
    <row r="30" spans="1:9" ht="22.5" customHeight="1" x14ac:dyDescent="0.3">
      <c r="A30" s="33"/>
      <c r="B30" s="26" t="s">
        <v>196</v>
      </c>
      <c r="C30" s="26" t="s">
        <v>350</v>
      </c>
      <c r="D30" s="34"/>
      <c r="E30" s="35"/>
      <c r="F30" s="31"/>
      <c r="G30" s="32"/>
      <c r="H30" s="31"/>
      <c r="I30" s="35"/>
    </row>
    <row r="31" spans="1:9" ht="24.75" customHeight="1" x14ac:dyDescent="0.3">
      <c r="A31" s="28" t="s">
        <v>355</v>
      </c>
      <c r="B31" s="25" t="s">
        <v>182</v>
      </c>
      <c r="C31" s="25" t="s">
        <v>183</v>
      </c>
      <c r="D31" s="29" t="s">
        <v>184</v>
      </c>
      <c r="E31" s="30" t="s">
        <v>346</v>
      </c>
      <c r="F31" s="31" t="s">
        <v>85</v>
      </c>
      <c r="G31" s="32" t="s">
        <v>347</v>
      </c>
      <c r="H31" s="31"/>
      <c r="I31" s="30" t="s">
        <v>356</v>
      </c>
    </row>
    <row r="32" spans="1:9" ht="24.75" customHeight="1" x14ac:dyDescent="0.3">
      <c r="A32" s="28"/>
      <c r="B32" s="25" t="s">
        <v>188</v>
      </c>
      <c r="C32" s="25" t="s">
        <v>189</v>
      </c>
      <c r="D32" s="29"/>
      <c r="E32" s="30"/>
      <c r="F32" s="31"/>
      <c r="G32" s="32"/>
      <c r="H32" s="31"/>
      <c r="I32" s="30"/>
    </row>
    <row r="33" spans="1:9" ht="24.75" customHeight="1" x14ac:dyDescent="0.3">
      <c r="A33" s="28"/>
      <c r="B33" s="25" t="s">
        <v>190</v>
      </c>
      <c r="C33" s="25" t="s">
        <v>349</v>
      </c>
      <c r="D33" s="29"/>
      <c r="E33" s="30"/>
      <c r="F33" s="31"/>
      <c r="G33" s="32"/>
      <c r="H33" s="31"/>
      <c r="I33" s="30"/>
    </row>
    <row r="34" spans="1:9" ht="24.75" customHeight="1" x14ac:dyDescent="0.3">
      <c r="A34" s="28"/>
      <c r="B34" s="25" t="s">
        <v>192</v>
      </c>
      <c r="C34" s="25" t="s">
        <v>193</v>
      </c>
      <c r="D34" s="29"/>
      <c r="E34" s="30"/>
      <c r="F34" s="31"/>
      <c r="G34" s="32"/>
      <c r="H34" s="31"/>
      <c r="I34" s="30"/>
    </row>
    <row r="35" spans="1:9" ht="24.75" customHeight="1" x14ac:dyDescent="0.3">
      <c r="A35" s="28"/>
      <c r="B35" s="25" t="s">
        <v>194</v>
      </c>
      <c r="C35" s="25" t="s">
        <v>195</v>
      </c>
      <c r="D35" s="29"/>
      <c r="E35" s="30"/>
      <c r="F35" s="31"/>
      <c r="G35" s="32"/>
      <c r="H35" s="31"/>
      <c r="I35" s="30"/>
    </row>
    <row r="36" spans="1:9" ht="24.75" customHeight="1" x14ac:dyDescent="0.3">
      <c r="A36" s="28"/>
      <c r="B36" s="25" t="s">
        <v>196</v>
      </c>
      <c r="C36" s="25" t="s">
        <v>357</v>
      </c>
      <c r="D36" s="29"/>
      <c r="E36" s="30"/>
      <c r="F36" s="31"/>
      <c r="G36" s="32"/>
      <c r="H36" s="31"/>
      <c r="I36" s="30"/>
    </row>
    <row r="37" spans="1:9" ht="24.75" customHeight="1" x14ac:dyDescent="0.3">
      <c r="A37" s="33" t="s">
        <v>358</v>
      </c>
      <c r="B37" s="26" t="s">
        <v>182</v>
      </c>
      <c r="C37" s="26" t="s">
        <v>359</v>
      </c>
      <c r="D37" s="34" t="s">
        <v>225</v>
      </c>
      <c r="E37" s="35" t="s">
        <v>360</v>
      </c>
      <c r="F37" s="31" t="s">
        <v>85</v>
      </c>
      <c r="G37" s="32" t="s">
        <v>347</v>
      </c>
      <c r="H37" s="31"/>
      <c r="I37" s="35" t="s">
        <v>361</v>
      </c>
    </row>
    <row r="38" spans="1:9" ht="24.75" customHeight="1" x14ac:dyDescent="0.3">
      <c r="A38" s="33"/>
      <c r="B38" s="26" t="s">
        <v>188</v>
      </c>
      <c r="C38" s="26" t="s">
        <v>362</v>
      </c>
      <c r="D38" s="34"/>
      <c r="E38" s="35"/>
      <c r="F38" s="31"/>
      <c r="G38" s="32"/>
      <c r="H38" s="31"/>
      <c r="I38" s="35"/>
    </row>
    <row r="39" spans="1:9" ht="24.75" customHeight="1" x14ac:dyDescent="0.3">
      <c r="A39" s="33"/>
      <c r="B39" s="26" t="s">
        <v>190</v>
      </c>
      <c r="C39" s="26" t="s">
        <v>349</v>
      </c>
      <c r="D39" s="34"/>
      <c r="E39" s="35"/>
      <c r="F39" s="31"/>
      <c r="G39" s="32"/>
      <c r="H39" s="31"/>
      <c r="I39" s="35"/>
    </row>
    <row r="40" spans="1:9" ht="24.75" customHeight="1" x14ac:dyDescent="0.3">
      <c r="A40" s="33"/>
      <c r="B40" s="26" t="s">
        <v>192</v>
      </c>
      <c r="C40" s="26" t="s">
        <v>363</v>
      </c>
      <c r="D40" s="34"/>
      <c r="E40" s="35"/>
      <c r="F40" s="31"/>
      <c r="G40" s="32"/>
      <c r="H40" s="31"/>
      <c r="I40" s="35"/>
    </row>
    <row r="41" spans="1:9" ht="24.75" customHeight="1" x14ac:dyDescent="0.3">
      <c r="A41" s="33"/>
      <c r="B41" s="26" t="s">
        <v>194</v>
      </c>
      <c r="C41" s="26" t="s">
        <v>195</v>
      </c>
      <c r="D41" s="34"/>
      <c r="E41" s="35"/>
      <c r="F41" s="31"/>
      <c r="G41" s="32"/>
      <c r="H41" s="31"/>
      <c r="I41" s="35"/>
    </row>
    <row r="42" spans="1:9" ht="24.75" customHeight="1" x14ac:dyDescent="0.3">
      <c r="A42" s="33"/>
      <c r="B42" s="26" t="s">
        <v>196</v>
      </c>
      <c r="C42" s="26" t="s">
        <v>350</v>
      </c>
      <c r="D42" s="34"/>
      <c r="E42" s="35"/>
      <c r="F42" s="31"/>
      <c r="G42" s="32"/>
      <c r="H42" s="31"/>
      <c r="I42" s="35"/>
    </row>
    <row r="43" spans="1:9" ht="18.75" customHeight="1" x14ac:dyDescent="0.3">
      <c r="A43" s="28" t="s">
        <v>364</v>
      </c>
      <c r="B43" s="25" t="s">
        <v>182</v>
      </c>
      <c r="C43" s="25" t="s">
        <v>224</v>
      </c>
      <c r="D43" s="29" t="s">
        <v>225</v>
      </c>
      <c r="E43" s="30" t="s">
        <v>365</v>
      </c>
      <c r="F43" s="31" t="s">
        <v>85</v>
      </c>
      <c r="G43" s="32" t="s">
        <v>347</v>
      </c>
      <c r="H43" s="31"/>
      <c r="I43" s="30" t="s">
        <v>366</v>
      </c>
    </row>
    <row r="44" spans="1:9" ht="18.75" customHeight="1" x14ac:dyDescent="0.3">
      <c r="A44" s="28"/>
      <c r="B44" s="25" t="s">
        <v>188</v>
      </c>
      <c r="C44" s="25" t="s">
        <v>189</v>
      </c>
      <c r="D44" s="29"/>
      <c r="E44" s="30"/>
      <c r="F44" s="31"/>
      <c r="G44" s="32"/>
      <c r="H44" s="31"/>
      <c r="I44" s="30"/>
    </row>
    <row r="45" spans="1:9" ht="18.75" customHeight="1" x14ac:dyDescent="0.3">
      <c r="A45" s="28"/>
      <c r="B45" s="25" t="s">
        <v>190</v>
      </c>
      <c r="C45" s="25" t="s">
        <v>349</v>
      </c>
      <c r="D45" s="29"/>
      <c r="E45" s="30"/>
      <c r="F45" s="31"/>
      <c r="G45" s="32"/>
      <c r="H45" s="31"/>
      <c r="I45" s="30"/>
    </row>
    <row r="46" spans="1:9" ht="18.75" customHeight="1" x14ac:dyDescent="0.3">
      <c r="A46" s="28"/>
      <c r="B46" s="25" t="s">
        <v>192</v>
      </c>
      <c r="C46" s="25" t="s">
        <v>193</v>
      </c>
      <c r="D46" s="29"/>
      <c r="E46" s="30"/>
      <c r="F46" s="31"/>
      <c r="G46" s="32"/>
      <c r="H46" s="31"/>
      <c r="I46" s="30"/>
    </row>
    <row r="47" spans="1:9" ht="18.75" customHeight="1" x14ac:dyDescent="0.3">
      <c r="A47" s="28"/>
      <c r="B47" s="25" t="s">
        <v>194</v>
      </c>
      <c r="C47" s="25" t="s">
        <v>195</v>
      </c>
      <c r="D47" s="29"/>
      <c r="E47" s="30"/>
      <c r="F47" s="31"/>
      <c r="G47" s="32"/>
      <c r="H47" s="31"/>
      <c r="I47" s="30"/>
    </row>
    <row r="48" spans="1:9" ht="18.75" customHeight="1" x14ac:dyDescent="0.3">
      <c r="A48" s="28"/>
      <c r="B48" s="25" t="s">
        <v>196</v>
      </c>
      <c r="C48" s="25" t="s">
        <v>350</v>
      </c>
      <c r="D48" s="29"/>
      <c r="E48" s="30"/>
      <c r="F48" s="31"/>
      <c r="G48" s="32"/>
      <c r="H48" s="31"/>
      <c r="I48" s="30"/>
    </row>
    <row r="49" spans="1:9" ht="18.75" customHeight="1" x14ac:dyDescent="0.3">
      <c r="A49" s="33" t="s">
        <v>367</v>
      </c>
      <c r="B49" s="26" t="s">
        <v>182</v>
      </c>
      <c r="C49" s="26" t="s">
        <v>183</v>
      </c>
      <c r="D49" s="34" t="s">
        <v>225</v>
      </c>
      <c r="E49" s="35" t="s">
        <v>368</v>
      </c>
      <c r="F49" s="31" t="s">
        <v>85</v>
      </c>
      <c r="G49" s="32" t="s">
        <v>347</v>
      </c>
      <c r="H49" s="31"/>
      <c r="I49" s="35" t="s">
        <v>369</v>
      </c>
    </row>
    <row r="50" spans="1:9" ht="18.75" customHeight="1" x14ac:dyDescent="0.3">
      <c r="A50" s="33"/>
      <c r="B50" s="26" t="s">
        <v>188</v>
      </c>
      <c r="C50" s="26" t="s">
        <v>189</v>
      </c>
      <c r="D50" s="34"/>
      <c r="E50" s="35"/>
      <c r="F50" s="31"/>
      <c r="G50" s="32"/>
      <c r="H50" s="31"/>
      <c r="I50" s="35"/>
    </row>
    <row r="51" spans="1:9" ht="18.75" customHeight="1" x14ac:dyDescent="0.3">
      <c r="A51" s="33"/>
      <c r="B51" s="26" t="s">
        <v>190</v>
      </c>
      <c r="C51" s="26" t="s">
        <v>349</v>
      </c>
      <c r="D51" s="34"/>
      <c r="E51" s="35"/>
      <c r="F51" s="31"/>
      <c r="G51" s="32"/>
      <c r="H51" s="31"/>
      <c r="I51" s="35"/>
    </row>
    <row r="52" spans="1:9" ht="18.75" customHeight="1" x14ac:dyDescent="0.3">
      <c r="A52" s="33"/>
      <c r="B52" s="26" t="s">
        <v>192</v>
      </c>
      <c r="C52" s="26" t="s">
        <v>224</v>
      </c>
      <c r="D52" s="34"/>
      <c r="E52" s="35"/>
      <c r="F52" s="31"/>
      <c r="G52" s="32"/>
      <c r="H52" s="31"/>
      <c r="I52" s="35"/>
    </row>
    <row r="53" spans="1:9" ht="18.75" customHeight="1" x14ac:dyDescent="0.3">
      <c r="A53" s="33"/>
      <c r="B53" s="26" t="s">
        <v>194</v>
      </c>
      <c r="C53" s="26" t="s">
        <v>195</v>
      </c>
      <c r="D53" s="34"/>
      <c r="E53" s="35"/>
      <c r="F53" s="31"/>
      <c r="G53" s="32"/>
      <c r="H53" s="31"/>
      <c r="I53" s="35"/>
    </row>
    <row r="54" spans="1:9" ht="18.75" customHeight="1" x14ac:dyDescent="0.3">
      <c r="A54" s="33"/>
      <c r="B54" s="26" t="s">
        <v>196</v>
      </c>
      <c r="C54" s="26" t="s">
        <v>350</v>
      </c>
      <c r="D54" s="34"/>
      <c r="E54" s="35"/>
      <c r="F54" s="31"/>
      <c r="G54" s="32"/>
      <c r="H54" s="31"/>
      <c r="I54" s="35"/>
    </row>
    <row r="55" spans="1:9" ht="18.75" customHeight="1" x14ac:dyDescent="0.3">
      <c r="A55" s="28" t="s">
        <v>370</v>
      </c>
      <c r="B55" s="25" t="s">
        <v>182</v>
      </c>
      <c r="C55" s="25" t="s">
        <v>224</v>
      </c>
      <c r="D55" s="29" t="s">
        <v>225</v>
      </c>
      <c r="E55" s="30" t="s">
        <v>371</v>
      </c>
      <c r="F55" s="31" t="s">
        <v>85</v>
      </c>
      <c r="G55" s="32" t="s">
        <v>347</v>
      </c>
      <c r="H55" s="31"/>
      <c r="I55" s="30" t="s">
        <v>372</v>
      </c>
    </row>
    <row r="56" spans="1:9" ht="18.75" customHeight="1" x14ac:dyDescent="0.3">
      <c r="A56" s="28"/>
      <c r="B56" s="25" t="s">
        <v>188</v>
      </c>
      <c r="C56" s="25" t="s">
        <v>224</v>
      </c>
      <c r="D56" s="29"/>
      <c r="E56" s="30"/>
      <c r="F56" s="31"/>
      <c r="G56" s="32"/>
      <c r="H56" s="31"/>
      <c r="I56" s="30"/>
    </row>
    <row r="57" spans="1:9" ht="18.75" customHeight="1" x14ac:dyDescent="0.3">
      <c r="A57" s="28"/>
      <c r="B57" s="25" t="s">
        <v>190</v>
      </c>
      <c r="C57" s="25" t="s">
        <v>224</v>
      </c>
      <c r="D57" s="29"/>
      <c r="E57" s="30"/>
      <c r="F57" s="31"/>
      <c r="G57" s="32"/>
      <c r="H57" s="31"/>
      <c r="I57" s="30"/>
    </row>
    <row r="58" spans="1:9" ht="18.75" customHeight="1" x14ac:dyDescent="0.3">
      <c r="A58" s="28"/>
      <c r="B58" s="25" t="s">
        <v>192</v>
      </c>
      <c r="C58" s="25" t="s">
        <v>224</v>
      </c>
      <c r="D58" s="29"/>
      <c r="E58" s="30"/>
      <c r="F58" s="31"/>
      <c r="G58" s="32"/>
      <c r="H58" s="31"/>
      <c r="I58" s="30"/>
    </row>
    <row r="59" spans="1:9" ht="18.75" customHeight="1" x14ac:dyDescent="0.3">
      <c r="A59" s="28"/>
      <c r="B59" s="25" t="s">
        <v>194</v>
      </c>
      <c r="C59" s="25" t="s">
        <v>195</v>
      </c>
      <c r="D59" s="29"/>
      <c r="E59" s="30"/>
      <c r="F59" s="31"/>
      <c r="G59" s="32"/>
      <c r="H59" s="31"/>
      <c r="I59" s="30"/>
    </row>
    <row r="60" spans="1:9" ht="18.75" customHeight="1" x14ac:dyDescent="0.3">
      <c r="A60" s="28"/>
      <c r="B60" s="25" t="s">
        <v>196</v>
      </c>
      <c r="C60" s="25" t="s">
        <v>350</v>
      </c>
      <c r="D60" s="29"/>
      <c r="E60" s="30"/>
      <c r="F60" s="31"/>
      <c r="G60" s="32"/>
      <c r="H60" s="31"/>
      <c r="I60" s="30"/>
    </row>
    <row r="61" spans="1:9" ht="18.75" customHeight="1" x14ac:dyDescent="0.3">
      <c r="A61" s="33" t="s">
        <v>373</v>
      </c>
      <c r="B61" s="26" t="s">
        <v>182</v>
      </c>
      <c r="C61" s="26" t="s">
        <v>183</v>
      </c>
      <c r="D61" s="34" t="s">
        <v>225</v>
      </c>
      <c r="E61" s="35" t="s">
        <v>374</v>
      </c>
      <c r="F61" s="31" t="s">
        <v>85</v>
      </c>
      <c r="G61" s="32" t="s">
        <v>347</v>
      </c>
      <c r="H61" s="31"/>
      <c r="I61" s="35" t="s">
        <v>375</v>
      </c>
    </row>
    <row r="62" spans="1:9" ht="18.75" customHeight="1" x14ac:dyDescent="0.3">
      <c r="A62" s="33"/>
      <c r="B62" s="26" t="s">
        <v>188</v>
      </c>
      <c r="C62" s="26" t="s">
        <v>376</v>
      </c>
      <c r="D62" s="34"/>
      <c r="E62" s="35"/>
      <c r="F62" s="31"/>
      <c r="G62" s="32"/>
      <c r="H62" s="31"/>
      <c r="I62" s="35"/>
    </row>
    <row r="63" spans="1:9" ht="18.75" customHeight="1" x14ac:dyDescent="0.3">
      <c r="A63" s="33"/>
      <c r="B63" s="26" t="s">
        <v>190</v>
      </c>
      <c r="C63" s="26" t="s">
        <v>349</v>
      </c>
      <c r="D63" s="34"/>
      <c r="E63" s="35"/>
      <c r="F63" s="31"/>
      <c r="G63" s="32"/>
      <c r="H63" s="31"/>
      <c r="I63" s="35"/>
    </row>
    <row r="64" spans="1:9" ht="18.75" customHeight="1" x14ac:dyDescent="0.3">
      <c r="A64" s="33"/>
      <c r="B64" s="26" t="s">
        <v>192</v>
      </c>
      <c r="C64" s="26" t="s">
        <v>193</v>
      </c>
      <c r="D64" s="34"/>
      <c r="E64" s="35"/>
      <c r="F64" s="31"/>
      <c r="G64" s="32"/>
      <c r="H64" s="31"/>
      <c r="I64" s="35"/>
    </row>
    <row r="65" spans="1:9" ht="18.75" customHeight="1" x14ac:dyDescent="0.3">
      <c r="A65" s="33"/>
      <c r="B65" s="26" t="s">
        <v>194</v>
      </c>
      <c r="C65" s="26" t="s">
        <v>195</v>
      </c>
      <c r="D65" s="34"/>
      <c r="E65" s="35"/>
      <c r="F65" s="31"/>
      <c r="G65" s="32"/>
      <c r="H65" s="31"/>
      <c r="I65" s="35"/>
    </row>
    <row r="66" spans="1:9" ht="18.75" customHeight="1" x14ac:dyDescent="0.3">
      <c r="A66" s="33"/>
      <c r="B66" s="26" t="s">
        <v>196</v>
      </c>
      <c r="C66" s="26" t="s">
        <v>350</v>
      </c>
      <c r="D66" s="34"/>
      <c r="E66" s="35"/>
      <c r="F66" s="31"/>
      <c r="G66" s="32"/>
      <c r="H66" s="31"/>
      <c r="I66" s="35"/>
    </row>
    <row r="67" spans="1:9" ht="18.75" customHeight="1" x14ac:dyDescent="0.3">
      <c r="A67" s="28" t="s">
        <v>377</v>
      </c>
      <c r="B67" s="25" t="s">
        <v>182</v>
      </c>
      <c r="C67" s="25" t="s">
        <v>378</v>
      </c>
      <c r="D67" s="29" t="s">
        <v>225</v>
      </c>
      <c r="E67" s="30" t="s">
        <v>379</v>
      </c>
      <c r="F67" s="31" t="s">
        <v>85</v>
      </c>
      <c r="G67" s="32" t="s">
        <v>347</v>
      </c>
      <c r="H67" s="31"/>
      <c r="I67" s="30" t="s">
        <v>380</v>
      </c>
    </row>
    <row r="68" spans="1:9" ht="18.75" customHeight="1" x14ac:dyDescent="0.3">
      <c r="A68" s="28"/>
      <c r="B68" s="25" t="s">
        <v>188</v>
      </c>
      <c r="C68" s="25" t="s">
        <v>381</v>
      </c>
      <c r="D68" s="29"/>
      <c r="E68" s="30"/>
      <c r="F68" s="31"/>
      <c r="G68" s="32"/>
      <c r="H68" s="31"/>
      <c r="I68" s="30"/>
    </row>
    <row r="69" spans="1:9" ht="18.75" customHeight="1" x14ac:dyDescent="0.3">
      <c r="A69" s="28"/>
      <c r="B69" s="25" t="s">
        <v>190</v>
      </c>
      <c r="C69" s="25" t="s">
        <v>382</v>
      </c>
      <c r="D69" s="29"/>
      <c r="E69" s="30"/>
      <c r="F69" s="31"/>
      <c r="G69" s="32"/>
      <c r="H69" s="31"/>
      <c r="I69" s="30"/>
    </row>
    <row r="70" spans="1:9" ht="18.75" customHeight="1" x14ac:dyDescent="0.3">
      <c r="A70" s="28"/>
      <c r="B70" s="25" t="s">
        <v>192</v>
      </c>
      <c r="C70" s="25" t="s">
        <v>383</v>
      </c>
      <c r="D70" s="29"/>
      <c r="E70" s="30"/>
      <c r="F70" s="31"/>
      <c r="G70" s="32"/>
      <c r="H70" s="31"/>
      <c r="I70" s="30"/>
    </row>
    <row r="71" spans="1:9" ht="18.75" customHeight="1" x14ac:dyDescent="0.3">
      <c r="A71" s="28"/>
      <c r="B71" s="25" t="s">
        <v>194</v>
      </c>
      <c r="C71" s="25" t="s">
        <v>205</v>
      </c>
      <c r="D71" s="29"/>
      <c r="E71" s="30"/>
      <c r="F71" s="31"/>
      <c r="G71" s="32"/>
      <c r="H71" s="31"/>
      <c r="I71" s="30"/>
    </row>
    <row r="72" spans="1:9" ht="18.75" customHeight="1" x14ac:dyDescent="0.3">
      <c r="A72" s="28"/>
      <c r="B72" s="25" t="s">
        <v>196</v>
      </c>
      <c r="C72" s="25" t="s">
        <v>350</v>
      </c>
      <c r="D72" s="29"/>
      <c r="E72" s="30"/>
      <c r="F72" s="31"/>
      <c r="G72" s="32"/>
      <c r="H72" s="31"/>
      <c r="I72" s="30"/>
    </row>
    <row r="73" spans="1:9" ht="30" customHeight="1" x14ac:dyDescent="0.3">
      <c r="A73" s="36" t="s">
        <v>384</v>
      </c>
      <c r="B73" s="36"/>
      <c r="C73" s="36"/>
      <c r="D73" s="36"/>
      <c r="E73" s="36"/>
      <c r="F73" s="36"/>
      <c r="G73" s="36"/>
      <c r="H73" s="36"/>
      <c r="I73" s="36"/>
    </row>
    <row r="74" spans="1:9" ht="31.5" customHeight="1" x14ac:dyDescent="0.3">
      <c r="A74" s="33" t="s">
        <v>385</v>
      </c>
      <c r="B74" s="26" t="s">
        <v>386</v>
      </c>
      <c r="C74" s="26" t="s">
        <v>387</v>
      </c>
      <c r="D74" s="34" t="s">
        <v>184</v>
      </c>
      <c r="E74" s="35" t="s">
        <v>388</v>
      </c>
      <c r="F74" s="31" t="s">
        <v>85</v>
      </c>
      <c r="G74" s="32" t="s">
        <v>389</v>
      </c>
      <c r="H74" s="31"/>
      <c r="I74" s="35" t="s">
        <v>390</v>
      </c>
    </row>
    <row r="75" spans="1:9" ht="45" customHeight="1" x14ac:dyDescent="0.3">
      <c r="A75" s="33"/>
      <c r="B75" s="26" t="s">
        <v>391</v>
      </c>
      <c r="C75" s="26" t="s">
        <v>392</v>
      </c>
      <c r="D75" s="34"/>
      <c r="E75" s="35"/>
      <c r="F75" s="31"/>
      <c r="G75" s="32"/>
      <c r="H75" s="31"/>
      <c r="I75" s="35"/>
    </row>
    <row r="76" spans="1:9" ht="45" customHeight="1" x14ac:dyDescent="0.3">
      <c r="A76" s="33"/>
      <c r="B76" s="26" t="s">
        <v>393</v>
      </c>
      <c r="C76" s="26" t="s">
        <v>394</v>
      </c>
      <c r="D76" s="34"/>
      <c r="E76" s="35"/>
      <c r="F76" s="31"/>
      <c r="G76" s="32"/>
      <c r="H76" s="31"/>
      <c r="I76" s="35"/>
    </row>
    <row r="77" spans="1:9" ht="31.5" customHeight="1" x14ac:dyDescent="0.3">
      <c r="A77" s="33"/>
      <c r="B77" s="26" t="s">
        <v>395</v>
      </c>
      <c r="C77" s="26" t="s">
        <v>396</v>
      </c>
      <c r="D77" s="34"/>
      <c r="E77" s="35"/>
      <c r="F77" s="31"/>
      <c r="G77" s="32"/>
      <c r="H77" s="31"/>
      <c r="I77" s="35"/>
    </row>
    <row r="78" spans="1:9" ht="31.5" customHeight="1" x14ac:dyDescent="0.3">
      <c r="A78" s="28" t="s">
        <v>397</v>
      </c>
      <c r="B78" s="25" t="s">
        <v>287</v>
      </c>
      <c r="C78" s="25" t="s">
        <v>398</v>
      </c>
      <c r="D78" s="29" t="s">
        <v>225</v>
      </c>
      <c r="E78" s="30" t="s">
        <v>399</v>
      </c>
      <c r="F78" s="31" t="s">
        <v>85</v>
      </c>
      <c r="G78" s="32" t="s">
        <v>400</v>
      </c>
      <c r="H78" s="31"/>
      <c r="I78" s="30" t="s">
        <v>401</v>
      </c>
    </row>
    <row r="79" spans="1:9" ht="31.5" customHeight="1" x14ac:dyDescent="0.3">
      <c r="A79" s="28"/>
      <c r="B79" s="25" t="s">
        <v>292</v>
      </c>
      <c r="C79" s="25" t="s">
        <v>338</v>
      </c>
      <c r="D79" s="29"/>
      <c r="E79" s="30"/>
      <c r="F79" s="31"/>
      <c r="G79" s="32"/>
      <c r="H79" s="31"/>
      <c r="I79" s="30"/>
    </row>
    <row r="80" spans="1:9" ht="45" customHeight="1" x14ac:dyDescent="0.3">
      <c r="A80" s="28"/>
      <c r="B80" s="25" t="s">
        <v>294</v>
      </c>
      <c r="C80" s="25" t="s">
        <v>402</v>
      </c>
      <c r="D80" s="29"/>
      <c r="E80" s="30"/>
      <c r="F80" s="31"/>
      <c r="G80" s="32"/>
      <c r="H80" s="31"/>
      <c r="I80" s="30"/>
    </row>
    <row r="81" spans="1:9" ht="19.5" customHeight="1" x14ac:dyDescent="0.3">
      <c r="A81" s="33" t="s">
        <v>403</v>
      </c>
      <c r="B81" s="26" t="s">
        <v>404</v>
      </c>
      <c r="C81" s="26" t="s">
        <v>405</v>
      </c>
      <c r="D81" s="34" t="s">
        <v>225</v>
      </c>
      <c r="E81" s="35" t="s">
        <v>406</v>
      </c>
      <c r="F81" s="31" t="s">
        <v>85</v>
      </c>
      <c r="G81" s="32" t="s">
        <v>407</v>
      </c>
      <c r="H81" s="31"/>
      <c r="I81" s="35" t="s">
        <v>408</v>
      </c>
    </row>
    <row r="82" spans="1:9" ht="33" customHeight="1" x14ac:dyDescent="0.3">
      <c r="A82" s="33"/>
      <c r="B82" s="26" t="s">
        <v>409</v>
      </c>
      <c r="C82" s="26" t="s">
        <v>410</v>
      </c>
      <c r="D82" s="34"/>
      <c r="E82" s="35"/>
      <c r="F82" s="31"/>
      <c r="G82" s="32"/>
      <c r="H82" s="31"/>
      <c r="I82" s="35"/>
    </row>
    <row r="83" spans="1:9" ht="19.5" customHeight="1" x14ac:dyDescent="0.3">
      <c r="A83" s="33"/>
      <c r="B83" s="26" t="s">
        <v>411</v>
      </c>
      <c r="C83" s="26" t="s">
        <v>412</v>
      </c>
      <c r="D83" s="34"/>
      <c r="E83" s="35"/>
      <c r="F83" s="31"/>
      <c r="G83" s="32"/>
      <c r="H83" s="31"/>
      <c r="I83" s="35"/>
    </row>
    <row r="84" spans="1:9" ht="19.5" customHeight="1" x14ac:dyDescent="0.3">
      <c r="A84" s="28" t="s">
        <v>413</v>
      </c>
      <c r="B84" s="25" t="s">
        <v>404</v>
      </c>
      <c r="C84" s="25" t="s">
        <v>405</v>
      </c>
      <c r="D84" s="29" t="s">
        <v>225</v>
      </c>
      <c r="E84" s="30" t="s">
        <v>414</v>
      </c>
      <c r="F84" s="31" t="s">
        <v>85</v>
      </c>
      <c r="G84" s="32" t="s">
        <v>415</v>
      </c>
      <c r="H84" s="31"/>
      <c r="I84" s="30" t="s">
        <v>416</v>
      </c>
    </row>
    <row r="85" spans="1:9" ht="19.5" customHeight="1" x14ac:dyDescent="0.3">
      <c r="A85" s="28"/>
      <c r="B85" s="25" t="s">
        <v>190</v>
      </c>
      <c r="C85" s="25" t="s">
        <v>417</v>
      </c>
      <c r="D85" s="29"/>
      <c r="E85" s="30"/>
      <c r="F85" s="31"/>
      <c r="G85" s="32"/>
      <c r="H85" s="31"/>
      <c r="I85" s="30"/>
    </row>
    <row r="86" spans="1:9" ht="19.5" customHeight="1" x14ac:dyDescent="0.3">
      <c r="A86" s="28"/>
      <c r="B86" s="25" t="s">
        <v>418</v>
      </c>
      <c r="C86" s="25" t="s">
        <v>410</v>
      </c>
      <c r="D86" s="29"/>
      <c r="E86" s="30"/>
      <c r="F86" s="31"/>
      <c r="G86" s="32"/>
      <c r="H86" s="31"/>
      <c r="I86" s="30"/>
    </row>
    <row r="87" spans="1:9" ht="45" customHeight="1" x14ac:dyDescent="0.3">
      <c r="A87" s="33" t="s">
        <v>419</v>
      </c>
      <c r="B87" s="26" t="s">
        <v>287</v>
      </c>
      <c r="C87" s="26" t="s">
        <v>420</v>
      </c>
      <c r="D87" s="34" t="s">
        <v>225</v>
      </c>
      <c r="E87" s="35" t="s">
        <v>421</v>
      </c>
      <c r="F87" s="31" t="s">
        <v>85</v>
      </c>
      <c r="G87" s="32" t="s">
        <v>422</v>
      </c>
      <c r="H87" s="31"/>
      <c r="I87" s="35" t="s">
        <v>423</v>
      </c>
    </row>
    <row r="88" spans="1:9" ht="31.5" customHeight="1" x14ac:dyDescent="0.3">
      <c r="A88" s="33"/>
      <c r="B88" s="26" t="s">
        <v>292</v>
      </c>
      <c r="C88" s="26" t="s">
        <v>424</v>
      </c>
      <c r="D88" s="34"/>
      <c r="E88" s="35"/>
      <c r="F88" s="31"/>
      <c r="G88" s="32"/>
      <c r="H88" s="31"/>
      <c r="I88" s="35"/>
    </row>
    <row r="89" spans="1:9" ht="57.75" customHeight="1" x14ac:dyDescent="0.3">
      <c r="A89" s="33"/>
      <c r="B89" s="26" t="s">
        <v>294</v>
      </c>
      <c r="C89" s="26" t="s">
        <v>425</v>
      </c>
      <c r="D89" s="34"/>
      <c r="E89" s="35"/>
      <c r="F89" s="31"/>
      <c r="G89" s="32"/>
      <c r="H89" s="31"/>
      <c r="I89" s="35"/>
    </row>
  </sheetData>
  <mergeCells count="128">
    <mergeCell ref="A1:I1"/>
    <mergeCell ref="A2:I2"/>
    <mergeCell ref="A4:C4"/>
    <mergeCell ref="E4:G4"/>
    <mergeCell ref="B5:C5"/>
    <mergeCell ref="F5:G5"/>
    <mergeCell ref="B6:C6"/>
    <mergeCell ref="F6:G6"/>
    <mergeCell ref="B7:C7"/>
    <mergeCell ref="F7:G7"/>
    <mergeCell ref="B8:C8"/>
    <mergeCell ref="F8:G8"/>
    <mergeCell ref="B9:C9"/>
    <mergeCell ref="F9:G9"/>
    <mergeCell ref="B10:C10"/>
    <mergeCell ref="F10:G10"/>
    <mergeCell ref="A11:C11"/>
    <mergeCell ref="F11:G11"/>
    <mergeCell ref="B12:C12"/>
    <mergeCell ref="F12:G12"/>
    <mergeCell ref="B13:C13"/>
    <mergeCell ref="F13:G13"/>
    <mergeCell ref="B14:C14"/>
    <mergeCell ref="F14:G14"/>
    <mergeCell ref="B15:C15"/>
    <mergeCell ref="F15:G15"/>
    <mergeCell ref="B16:C16"/>
    <mergeCell ref="F16:G16"/>
    <mergeCell ref="A17:I17"/>
    <mergeCell ref="A19:A24"/>
    <mergeCell ref="D19:D24"/>
    <mergeCell ref="E19:E24"/>
    <mergeCell ref="F19:F24"/>
    <mergeCell ref="G19:G24"/>
    <mergeCell ref="H19:H24"/>
    <mergeCell ref="I19:I24"/>
    <mergeCell ref="A25:A30"/>
    <mergeCell ref="D25:D30"/>
    <mergeCell ref="E25:E30"/>
    <mergeCell ref="F25:F30"/>
    <mergeCell ref="G25:G30"/>
    <mergeCell ref="H25:H30"/>
    <mergeCell ref="I25:I30"/>
    <mergeCell ref="A31:A36"/>
    <mergeCell ref="D31:D36"/>
    <mergeCell ref="E31:E36"/>
    <mergeCell ref="F31:F36"/>
    <mergeCell ref="G31:G36"/>
    <mergeCell ref="H31:H36"/>
    <mergeCell ref="I31:I36"/>
    <mergeCell ref="A37:A42"/>
    <mergeCell ref="D37:D42"/>
    <mergeCell ref="E37:E42"/>
    <mergeCell ref="F37:F42"/>
    <mergeCell ref="G37:G42"/>
    <mergeCell ref="H37:H42"/>
    <mergeCell ref="I37:I42"/>
    <mergeCell ref="A43:A48"/>
    <mergeCell ref="D43:D48"/>
    <mergeCell ref="E43:E48"/>
    <mergeCell ref="F43:F48"/>
    <mergeCell ref="G43:G48"/>
    <mergeCell ref="H43:H48"/>
    <mergeCell ref="I43:I48"/>
    <mergeCell ref="A49:A54"/>
    <mergeCell ref="D49:D54"/>
    <mergeCell ref="E49:E54"/>
    <mergeCell ref="F49:F54"/>
    <mergeCell ref="G49:G54"/>
    <mergeCell ref="H49:H54"/>
    <mergeCell ref="I49:I54"/>
    <mergeCell ref="A55:A60"/>
    <mergeCell ref="D55:D60"/>
    <mergeCell ref="E55:E60"/>
    <mergeCell ref="F55:F60"/>
    <mergeCell ref="G55:G60"/>
    <mergeCell ref="H55:H60"/>
    <mergeCell ref="I55:I60"/>
    <mergeCell ref="A61:A66"/>
    <mergeCell ref="D61:D66"/>
    <mergeCell ref="E61:E66"/>
    <mergeCell ref="F61:F66"/>
    <mergeCell ref="G61:G66"/>
    <mergeCell ref="H61:H66"/>
    <mergeCell ref="I61:I66"/>
    <mergeCell ref="A67:A72"/>
    <mergeCell ref="D67:D72"/>
    <mergeCell ref="E67:E72"/>
    <mergeCell ref="F67:F72"/>
    <mergeCell ref="G67:G72"/>
    <mergeCell ref="H67:H72"/>
    <mergeCell ref="I67:I72"/>
    <mergeCell ref="A73:I73"/>
    <mergeCell ref="A74:A77"/>
    <mergeCell ref="D74:D77"/>
    <mergeCell ref="E74:E77"/>
    <mergeCell ref="F74:F77"/>
    <mergeCell ref="G74:G77"/>
    <mergeCell ref="H74:H77"/>
    <mergeCell ref="I74:I77"/>
    <mergeCell ref="A78:A80"/>
    <mergeCell ref="D78:D80"/>
    <mergeCell ref="E78:E80"/>
    <mergeCell ref="F78:F80"/>
    <mergeCell ref="G78:G80"/>
    <mergeCell ref="H78:H80"/>
    <mergeCell ref="I78:I80"/>
    <mergeCell ref="A81:A83"/>
    <mergeCell ref="D81:D83"/>
    <mergeCell ref="E81:E83"/>
    <mergeCell ref="F81:F83"/>
    <mergeCell ref="G81:G83"/>
    <mergeCell ref="H81:H83"/>
    <mergeCell ref="I81:I83"/>
    <mergeCell ref="A84:A86"/>
    <mergeCell ref="D84:D86"/>
    <mergeCell ref="E84:E86"/>
    <mergeCell ref="F84:F86"/>
    <mergeCell ref="G84:G86"/>
    <mergeCell ref="H84:H86"/>
    <mergeCell ref="I84:I86"/>
    <mergeCell ref="A87:A89"/>
    <mergeCell ref="D87:D89"/>
    <mergeCell ref="E87:E89"/>
    <mergeCell ref="F87:F89"/>
    <mergeCell ref="G87:G89"/>
    <mergeCell ref="H87:H89"/>
    <mergeCell ref="I87:I89"/>
  </mergeCells>
  <conditionalFormatting sqref="F19:F89">
    <cfRule type="cellIs" dxfId="15" priority="2" operator="equal">
      <formula>"OK"</formula>
    </cfRule>
    <cfRule type="cellIs" dxfId="14" priority="3" operator="equal">
      <formula>"NOK"</formula>
    </cfRule>
  </conditionalFormatting>
  <dataValidations count="4">
    <dataValidation type="list" allowBlank="1" sqref="B10" xr:uid="{00000000-0002-0000-0400-000000000000}">
      <formula1>"Unitaria,Integración,Funcional,Aceptación,Regresión,No funcional"</formula1>
      <formula2>0</formula2>
    </dataValidation>
    <dataValidation type="list" allowBlank="1" sqref="D19:D89" xr:uid="{00000000-0002-0000-0400-000001000000}">
      <formula1>"Positivo (+),Negativo (-)"</formula1>
      <formula2>0</formula2>
    </dataValidation>
    <dataValidation type="list" allowBlank="1" sqref="F19:F89" xr:uid="{00000000-0002-0000-0400-000002000000}">
      <formula1>"OK,NOK"</formula1>
      <formula2>0</formula2>
    </dataValidation>
    <dataValidation type="list" allowBlank="1" sqref="H19:H89" xr:uid="{00000000-0002-0000-0400-000003000000}">
      <formula1>"Baja,Media,Alta"</formula1>
      <formula2>0</formula2>
    </dataValidation>
  </dataValidations>
  <hyperlinks>
    <hyperlink ref="G19" r:id="rId1" xr:uid="{00000000-0004-0000-0400-000000000000}"/>
    <hyperlink ref="G25" r:id="rId2" xr:uid="{00000000-0004-0000-0400-000001000000}"/>
    <hyperlink ref="G31" r:id="rId3" xr:uid="{00000000-0004-0000-0400-000002000000}"/>
    <hyperlink ref="G37" r:id="rId4" xr:uid="{00000000-0004-0000-0400-000003000000}"/>
    <hyperlink ref="G43" r:id="rId5" xr:uid="{00000000-0004-0000-0400-000004000000}"/>
    <hyperlink ref="G49" r:id="rId6" xr:uid="{00000000-0004-0000-0400-000005000000}"/>
    <hyperlink ref="G55" r:id="rId7" xr:uid="{00000000-0004-0000-0400-000006000000}"/>
    <hyperlink ref="G61" r:id="rId8" xr:uid="{00000000-0004-0000-0400-000007000000}"/>
    <hyperlink ref="G67" r:id="rId9" xr:uid="{00000000-0004-0000-0400-000008000000}"/>
    <hyperlink ref="G74" r:id="rId10" xr:uid="{00000000-0004-0000-0400-000009000000}"/>
    <hyperlink ref="G78" r:id="rId11" xr:uid="{00000000-0004-0000-0400-00000A000000}"/>
    <hyperlink ref="G81" r:id="rId12" xr:uid="{00000000-0004-0000-0400-00000B000000}"/>
    <hyperlink ref="G84" r:id="rId13" xr:uid="{00000000-0004-0000-0400-00000C000000}"/>
    <hyperlink ref="G87" r:id="rId14" xr:uid="{00000000-0004-0000-0400-00000D000000}"/>
  </hyperlinks>
  <pageMargins left="0.75" right="0.75" top="1" bottom="1" header="0.511811023622047" footer="0.511811023622047"/>
  <pageSetup fitToHeight="0" orientation="landscape" horizontalDpi="300" verticalDpi="300"/>
  <drawing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44"/>
  <sheetViews>
    <sheetView showGridLines="0" zoomScale="60" zoomScaleNormal="60" workbookViewId="0">
      <pane xSplit="1" ySplit="18" topLeftCell="B19" activePane="bottomRight" state="frozen"/>
      <selection pane="topRight" activeCell="B1" sqref="B1"/>
      <selection pane="bottomLeft" activeCell="A19" sqref="A19"/>
      <selection pane="bottomRight" activeCell="L28" sqref="L28"/>
    </sheetView>
  </sheetViews>
  <sheetFormatPr baseColWidth="10" defaultColWidth="8.6640625" defaultRowHeight="14.4" x14ac:dyDescent="0.3"/>
  <cols>
    <col min="1" max="1" width="34" customWidth="1"/>
    <col min="2" max="2" width="22" customWidth="1"/>
    <col min="3" max="3" width="40" customWidth="1"/>
    <col min="4" max="4" width="14" customWidth="1"/>
    <col min="5" max="5" width="52" customWidth="1"/>
    <col min="6" max="6" width="16" customWidth="1"/>
    <col min="7" max="7" width="36" customWidth="1"/>
    <col min="8" max="8" width="16" customWidth="1"/>
    <col min="9" max="9" width="46" customWidth="1"/>
  </cols>
  <sheetData>
    <row r="1" spans="1:9" ht="33.75" customHeight="1" x14ac:dyDescent="0.3">
      <c r="A1" s="45" t="s">
        <v>426</v>
      </c>
      <c r="B1" s="45"/>
      <c r="C1" s="45"/>
      <c r="D1" s="45"/>
      <c r="E1" s="45"/>
      <c r="F1" s="45"/>
      <c r="G1" s="45"/>
      <c r="H1" s="45"/>
      <c r="I1" s="45"/>
    </row>
    <row r="2" spans="1:9" ht="15" customHeight="1" x14ac:dyDescent="0.3">
      <c r="A2" s="46" t="s">
        <v>148</v>
      </c>
      <c r="B2" s="46"/>
      <c r="C2" s="46"/>
      <c r="D2" s="46"/>
      <c r="E2" s="46"/>
      <c r="F2" s="46"/>
      <c r="G2" s="46"/>
      <c r="H2" s="46"/>
      <c r="I2" s="46"/>
    </row>
    <row r="4" spans="1:9" ht="15" customHeight="1" x14ac:dyDescent="0.3">
      <c r="A4" s="47" t="s">
        <v>149</v>
      </c>
      <c r="B4" s="47"/>
      <c r="C4" s="47"/>
      <c r="E4" s="47" t="s">
        <v>68</v>
      </c>
      <c r="F4" s="47"/>
      <c r="G4" s="47"/>
    </row>
    <row r="5" spans="1:9" ht="15" customHeight="1" x14ac:dyDescent="0.3">
      <c r="A5" s="4" t="s">
        <v>150</v>
      </c>
      <c r="B5" s="42" t="s">
        <v>151</v>
      </c>
      <c r="C5" s="42"/>
      <c r="E5" s="22" t="s">
        <v>69</v>
      </c>
      <c r="F5" s="38">
        <f>COUNTIF(A19:A44,"HE?_HU?_CA?_CP???")</f>
        <v>12</v>
      </c>
      <c r="G5" s="38"/>
    </row>
    <row r="6" spans="1:9" ht="15" customHeight="1" x14ac:dyDescent="0.3">
      <c r="A6" s="4" t="s">
        <v>152</v>
      </c>
      <c r="B6" s="42" t="s">
        <v>427</v>
      </c>
      <c r="C6" s="42"/>
      <c r="E6" s="22" t="s">
        <v>154</v>
      </c>
      <c r="F6" s="38">
        <f>COUNTIF(F19:F44,"OK")+COUNTIF(F19:F44,"NOK")</f>
        <v>12</v>
      </c>
      <c r="G6" s="38"/>
    </row>
    <row r="7" spans="1:9" ht="15" customHeight="1" x14ac:dyDescent="0.3">
      <c r="A7" s="4" t="s">
        <v>155</v>
      </c>
      <c r="B7" s="42" t="s">
        <v>156</v>
      </c>
      <c r="C7" s="42"/>
      <c r="E7" s="22" t="s">
        <v>157</v>
      </c>
      <c r="F7" s="38">
        <f>COUNTIF(F19:F44,"OK")</f>
        <v>11</v>
      </c>
      <c r="G7" s="38"/>
    </row>
    <row r="8" spans="1:9" ht="15" customHeight="1" x14ac:dyDescent="0.3">
      <c r="A8" s="4" t="s">
        <v>158</v>
      </c>
      <c r="B8" s="42"/>
      <c r="C8" s="42"/>
      <c r="E8" s="22" t="s">
        <v>159</v>
      </c>
      <c r="F8" s="38">
        <f>COUNTIF(F19:F44,"NOK")</f>
        <v>1</v>
      </c>
      <c r="G8" s="38"/>
    </row>
    <row r="9" spans="1:9" ht="15" customHeight="1" x14ac:dyDescent="0.3">
      <c r="A9" s="4" t="s">
        <v>160</v>
      </c>
      <c r="B9" s="42"/>
      <c r="C9" s="42"/>
      <c r="E9" s="22" t="s">
        <v>132</v>
      </c>
      <c r="F9" s="43">
        <f>IF(F6=0,"Sin ejecutados",F7/F6)</f>
        <v>0.91666666666666663</v>
      </c>
      <c r="G9" s="43"/>
    </row>
    <row r="10" spans="1:9" ht="15" customHeight="1" x14ac:dyDescent="0.3">
      <c r="A10" s="4" t="s">
        <v>161</v>
      </c>
      <c r="B10" s="42" t="s">
        <v>162</v>
      </c>
      <c r="C10" s="42"/>
      <c r="E10" s="22" t="s">
        <v>134</v>
      </c>
      <c r="F10" s="43">
        <f>IF(F6=0,"Sin ejecutados",F8/F6)</f>
        <v>8.3333333333333329E-2</v>
      </c>
      <c r="G10" s="43"/>
    </row>
    <row r="11" spans="1:9" ht="15" customHeight="1" x14ac:dyDescent="0.3">
      <c r="A11" s="44" t="s">
        <v>163</v>
      </c>
      <c r="B11" s="44"/>
      <c r="C11" s="44"/>
      <c r="E11" s="22" t="s">
        <v>164</v>
      </c>
      <c r="F11" s="38">
        <f>F5-F6</f>
        <v>0</v>
      </c>
      <c r="G11" s="38"/>
    </row>
    <row r="12" spans="1:9" ht="15" customHeight="1" x14ac:dyDescent="0.3">
      <c r="A12" s="4" t="s">
        <v>428</v>
      </c>
      <c r="B12" s="37">
        <f>COUNTIF(A19:A44,"*_CA1_*")</f>
        <v>5</v>
      </c>
      <c r="C12" s="37"/>
      <c r="E12" s="22" t="s">
        <v>166</v>
      </c>
      <c r="F12" s="38">
        <f>COUNTIF(D19:D44,"Positivo*")</f>
        <v>4</v>
      </c>
      <c r="G12" s="38"/>
    </row>
    <row r="13" spans="1:9" ht="15" customHeight="1" x14ac:dyDescent="0.3">
      <c r="A13" s="4" t="s">
        <v>343</v>
      </c>
      <c r="B13" s="37">
        <f>COUNTIF(A19:A44,"*_CA2_*")</f>
        <v>4</v>
      </c>
      <c r="C13" s="37"/>
      <c r="E13" s="22" t="s">
        <v>168</v>
      </c>
      <c r="F13" s="38">
        <f>COUNTIF(D19:D44,"Negativo*")</f>
        <v>8</v>
      </c>
      <c r="G13" s="38"/>
    </row>
    <row r="14" spans="1:9" ht="15" customHeight="1" x14ac:dyDescent="0.3">
      <c r="A14" s="4" t="s">
        <v>429</v>
      </c>
      <c r="B14" s="37">
        <f>COUNTIF(A19:A44,"*_CA3_*")</f>
        <v>3</v>
      </c>
      <c r="C14" s="37"/>
      <c r="E14" s="22" t="s">
        <v>170</v>
      </c>
      <c r="F14" s="38">
        <f>COUNTIFS(F19:F44,"NOK",H19:H44,"*Baja")</f>
        <v>1</v>
      </c>
      <c r="G14" s="38"/>
    </row>
    <row r="15" spans="1:9" ht="15" customHeight="1" x14ac:dyDescent="0.3">
      <c r="A15" s="23" t="s">
        <v>171</v>
      </c>
      <c r="B15" s="39">
        <f>COUNTIF(A19:A44,"*_CA4_*")</f>
        <v>0</v>
      </c>
      <c r="C15" s="39"/>
      <c r="E15" s="22" t="s">
        <v>172</v>
      </c>
      <c r="F15" s="38">
        <f>COUNTIFS(F19:F44,"NOK",H19:H44,"*Media")</f>
        <v>0</v>
      </c>
      <c r="G15" s="38"/>
    </row>
    <row r="16" spans="1:9" ht="15" customHeight="1" x14ac:dyDescent="0.3">
      <c r="A16" s="24" t="s">
        <v>173</v>
      </c>
      <c r="B16" s="40">
        <f>SUM(B12:B15)</f>
        <v>12</v>
      </c>
      <c r="C16" s="40"/>
      <c r="E16" s="22" t="s">
        <v>174</v>
      </c>
      <c r="F16" s="38">
        <f>COUNTIFS(F19:F44,"NOK",H19:H44,"*Alta")</f>
        <v>0</v>
      </c>
      <c r="G16" s="38"/>
    </row>
    <row r="17" spans="1:9" ht="15" customHeight="1" x14ac:dyDescent="0.3">
      <c r="A17" s="41" t="s">
        <v>175</v>
      </c>
      <c r="B17" s="41"/>
      <c r="C17" s="41"/>
      <c r="D17" s="41"/>
      <c r="E17" s="41"/>
      <c r="F17" s="41"/>
      <c r="G17" s="41"/>
      <c r="H17" s="41"/>
      <c r="I17" s="41"/>
    </row>
    <row r="18" spans="1:9" ht="33.75" customHeight="1" x14ac:dyDescent="0.3">
      <c r="A18" s="6" t="s">
        <v>16</v>
      </c>
      <c r="B18" s="6" t="s">
        <v>176</v>
      </c>
      <c r="C18" s="6" t="s">
        <v>177</v>
      </c>
      <c r="D18" s="6" t="s">
        <v>20</v>
      </c>
      <c r="E18" s="6" t="s">
        <v>22</v>
      </c>
      <c r="F18" s="6" t="s">
        <v>178</v>
      </c>
      <c r="G18" s="6" t="s">
        <v>179</v>
      </c>
      <c r="H18" s="6" t="s">
        <v>180</v>
      </c>
      <c r="I18" s="6" t="s">
        <v>24</v>
      </c>
    </row>
    <row r="19" spans="1:9" ht="55.5" customHeight="1" x14ac:dyDescent="0.3">
      <c r="A19" s="28" t="s">
        <v>430</v>
      </c>
      <c r="B19" s="25" t="s">
        <v>431</v>
      </c>
      <c r="C19" s="25" t="s">
        <v>376</v>
      </c>
      <c r="D19" s="29" t="s">
        <v>184</v>
      </c>
      <c r="E19" s="30" t="s">
        <v>432</v>
      </c>
      <c r="F19" s="31" t="s">
        <v>85</v>
      </c>
      <c r="G19" s="32" t="s">
        <v>433</v>
      </c>
      <c r="H19" s="31"/>
      <c r="I19" s="30" t="s">
        <v>434</v>
      </c>
    </row>
    <row r="20" spans="1:9" ht="55.5" customHeight="1" x14ac:dyDescent="0.3">
      <c r="A20" s="28"/>
      <c r="B20" s="25" t="s">
        <v>435</v>
      </c>
      <c r="C20" s="25" t="s">
        <v>436</v>
      </c>
      <c r="D20" s="29"/>
      <c r="E20" s="30"/>
      <c r="F20" s="31"/>
      <c r="G20" s="32"/>
      <c r="H20" s="31"/>
      <c r="I20" s="30"/>
    </row>
    <row r="21" spans="1:9" ht="55.5" customHeight="1" x14ac:dyDescent="0.3">
      <c r="A21" s="33" t="s">
        <v>437</v>
      </c>
      <c r="B21" s="26" t="s">
        <v>431</v>
      </c>
      <c r="C21" s="26" t="s">
        <v>438</v>
      </c>
      <c r="D21" s="34" t="s">
        <v>184</v>
      </c>
      <c r="E21" s="35" t="s">
        <v>439</v>
      </c>
      <c r="F21" s="31" t="s">
        <v>85</v>
      </c>
      <c r="G21" s="32" t="s">
        <v>433</v>
      </c>
      <c r="H21" s="31"/>
      <c r="I21" s="35" t="s">
        <v>440</v>
      </c>
    </row>
    <row r="22" spans="1:9" ht="55.5" customHeight="1" x14ac:dyDescent="0.3">
      <c r="A22" s="33"/>
      <c r="B22" s="26" t="s">
        <v>435</v>
      </c>
      <c r="C22" s="26" t="s">
        <v>436</v>
      </c>
      <c r="D22" s="34"/>
      <c r="E22" s="35"/>
      <c r="F22" s="31"/>
      <c r="G22" s="32"/>
      <c r="H22" s="31"/>
      <c r="I22" s="35"/>
    </row>
    <row r="23" spans="1:9" ht="69" customHeight="1" x14ac:dyDescent="0.3">
      <c r="A23" s="28" t="s">
        <v>441</v>
      </c>
      <c r="B23" s="25" t="s">
        <v>431</v>
      </c>
      <c r="C23" s="25" t="s">
        <v>442</v>
      </c>
      <c r="D23" s="29" t="s">
        <v>184</v>
      </c>
      <c r="E23" s="30" t="s">
        <v>443</v>
      </c>
      <c r="F23" s="31" t="s">
        <v>85</v>
      </c>
      <c r="G23" s="32" t="s">
        <v>433</v>
      </c>
      <c r="H23" s="31"/>
      <c r="I23" s="30" t="s">
        <v>444</v>
      </c>
    </row>
    <row r="24" spans="1:9" ht="69" customHeight="1" x14ac:dyDescent="0.3">
      <c r="A24" s="28"/>
      <c r="B24" s="25" t="s">
        <v>435</v>
      </c>
      <c r="C24" s="25" t="s">
        <v>436</v>
      </c>
      <c r="D24" s="29"/>
      <c r="E24" s="30"/>
      <c r="F24" s="31"/>
      <c r="G24" s="32"/>
      <c r="H24" s="31"/>
      <c r="I24" s="30"/>
    </row>
    <row r="25" spans="1:9" ht="55.5" customHeight="1" x14ac:dyDescent="0.3">
      <c r="A25" s="33" t="s">
        <v>445</v>
      </c>
      <c r="B25" s="26" t="s">
        <v>431</v>
      </c>
      <c r="C25" s="26" t="s">
        <v>446</v>
      </c>
      <c r="D25" s="34" t="s">
        <v>225</v>
      </c>
      <c r="E25" s="35" t="s">
        <v>447</v>
      </c>
      <c r="F25" s="31" t="s">
        <v>85</v>
      </c>
      <c r="G25" s="32" t="s">
        <v>433</v>
      </c>
      <c r="H25" s="31"/>
      <c r="I25" s="35" t="s">
        <v>448</v>
      </c>
    </row>
    <row r="26" spans="1:9" ht="55.5" customHeight="1" x14ac:dyDescent="0.3">
      <c r="A26" s="33"/>
      <c r="B26" s="26" t="s">
        <v>435</v>
      </c>
      <c r="C26" s="26" t="s">
        <v>436</v>
      </c>
      <c r="D26" s="34"/>
      <c r="E26" s="35"/>
      <c r="F26" s="31"/>
      <c r="G26" s="32"/>
      <c r="H26" s="31"/>
      <c r="I26" s="35"/>
    </row>
    <row r="27" spans="1:9" ht="55.5" customHeight="1" x14ac:dyDescent="0.3">
      <c r="A27" s="28" t="s">
        <v>449</v>
      </c>
      <c r="B27" s="25" t="s">
        <v>431</v>
      </c>
      <c r="C27" s="25" t="s">
        <v>450</v>
      </c>
      <c r="D27" s="29" t="s">
        <v>225</v>
      </c>
      <c r="E27" s="30" t="s">
        <v>447</v>
      </c>
      <c r="F27" s="31" t="s">
        <v>85</v>
      </c>
      <c r="G27" s="32" t="s">
        <v>433</v>
      </c>
      <c r="H27" s="31"/>
      <c r="I27" s="30" t="s">
        <v>451</v>
      </c>
    </row>
    <row r="28" spans="1:9" ht="55.5" customHeight="1" x14ac:dyDescent="0.3">
      <c r="A28" s="28"/>
      <c r="B28" s="25" t="s">
        <v>435</v>
      </c>
      <c r="C28" s="25" t="s">
        <v>436</v>
      </c>
      <c r="D28" s="29"/>
      <c r="E28" s="30"/>
      <c r="F28" s="31"/>
      <c r="G28" s="32"/>
      <c r="H28" s="31"/>
      <c r="I28" s="30"/>
    </row>
    <row r="29" spans="1:9" ht="75" customHeight="1" x14ac:dyDescent="0.3">
      <c r="A29" s="33" t="s">
        <v>452</v>
      </c>
      <c r="B29" s="26" t="s">
        <v>431</v>
      </c>
      <c r="C29" s="26" t="s">
        <v>224</v>
      </c>
      <c r="D29" s="34" t="s">
        <v>225</v>
      </c>
      <c r="E29" s="35" t="s">
        <v>453</v>
      </c>
      <c r="F29" s="31" t="s">
        <v>85</v>
      </c>
      <c r="G29" s="32" t="s">
        <v>433</v>
      </c>
      <c r="H29" s="31"/>
      <c r="I29" s="35" t="s">
        <v>454</v>
      </c>
    </row>
    <row r="30" spans="1:9" ht="75" customHeight="1" x14ac:dyDescent="0.3">
      <c r="A30" s="33"/>
      <c r="B30" s="26" t="s">
        <v>435</v>
      </c>
      <c r="C30" s="26" t="s">
        <v>436</v>
      </c>
      <c r="D30" s="34"/>
      <c r="E30" s="35"/>
      <c r="F30" s="31"/>
      <c r="G30" s="32"/>
      <c r="H30" s="31"/>
      <c r="I30" s="35"/>
    </row>
    <row r="31" spans="1:9" ht="62.25" customHeight="1" x14ac:dyDescent="0.3">
      <c r="A31" s="28" t="s">
        <v>455</v>
      </c>
      <c r="B31" s="25" t="s">
        <v>431</v>
      </c>
      <c r="C31" s="25" t="s">
        <v>456</v>
      </c>
      <c r="D31" s="29" t="s">
        <v>225</v>
      </c>
      <c r="E31" s="30" t="s">
        <v>453</v>
      </c>
      <c r="F31" s="31" t="s">
        <v>85</v>
      </c>
      <c r="G31" s="32" t="s">
        <v>433</v>
      </c>
      <c r="H31" s="31"/>
      <c r="I31" s="30" t="s">
        <v>457</v>
      </c>
    </row>
    <row r="32" spans="1:9" ht="62.25" customHeight="1" x14ac:dyDescent="0.3">
      <c r="A32" s="28"/>
      <c r="B32" s="25" t="s">
        <v>435</v>
      </c>
      <c r="C32" s="25" t="s">
        <v>436</v>
      </c>
      <c r="D32" s="29"/>
      <c r="E32" s="30"/>
      <c r="F32" s="31"/>
      <c r="G32" s="32"/>
      <c r="H32" s="31"/>
      <c r="I32" s="30"/>
    </row>
    <row r="33" spans="1:9" ht="30" customHeight="1" x14ac:dyDescent="0.3">
      <c r="A33" s="36" t="s">
        <v>458</v>
      </c>
      <c r="B33" s="36"/>
      <c r="C33" s="36"/>
      <c r="D33" s="36"/>
      <c r="E33" s="36"/>
      <c r="F33" s="36"/>
      <c r="G33" s="36"/>
      <c r="H33" s="36"/>
      <c r="I33" s="36"/>
    </row>
    <row r="34" spans="1:9" ht="28.5" customHeight="1" x14ac:dyDescent="0.3">
      <c r="A34" s="33" t="s">
        <v>459</v>
      </c>
      <c r="B34" s="26" t="s">
        <v>431</v>
      </c>
      <c r="C34" s="26" t="s">
        <v>460</v>
      </c>
      <c r="D34" s="34" t="s">
        <v>184</v>
      </c>
      <c r="E34" s="35" t="s">
        <v>461</v>
      </c>
      <c r="F34" s="31" t="s">
        <v>86</v>
      </c>
      <c r="G34" s="32" t="s">
        <v>462</v>
      </c>
      <c r="H34" s="31" t="s">
        <v>463</v>
      </c>
      <c r="I34" s="35" t="s">
        <v>464</v>
      </c>
    </row>
    <row r="35" spans="1:9" ht="28.5" customHeight="1" x14ac:dyDescent="0.3">
      <c r="A35" s="33"/>
      <c r="B35" s="26" t="s">
        <v>435</v>
      </c>
      <c r="C35" s="26" t="s">
        <v>436</v>
      </c>
      <c r="D35" s="34"/>
      <c r="E35" s="35"/>
      <c r="F35" s="31"/>
      <c r="G35" s="32"/>
      <c r="H35" s="31"/>
      <c r="I35" s="35"/>
    </row>
    <row r="36" spans="1:9" ht="36" customHeight="1" x14ac:dyDescent="0.3">
      <c r="A36" s="28" t="s">
        <v>465</v>
      </c>
      <c r="B36" s="25" t="s">
        <v>287</v>
      </c>
      <c r="C36" s="25" t="s">
        <v>466</v>
      </c>
      <c r="D36" s="29" t="s">
        <v>225</v>
      </c>
      <c r="E36" s="30" t="s">
        <v>467</v>
      </c>
      <c r="F36" s="31" t="s">
        <v>85</v>
      </c>
      <c r="G36" s="32" t="s">
        <v>468</v>
      </c>
      <c r="H36" s="31"/>
      <c r="I36" s="30" t="s">
        <v>469</v>
      </c>
    </row>
    <row r="37" spans="1:9" ht="36" customHeight="1" x14ac:dyDescent="0.3">
      <c r="A37" s="28"/>
      <c r="B37" s="25" t="s">
        <v>292</v>
      </c>
      <c r="C37" s="25" t="s">
        <v>293</v>
      </c>
      <c r="D37" s="29"/>
      <c r="E37" s="30"/>
      <c r="F37" s="31"/>
      <c r="G37" s="32"/>
      <c r="H37" s="31"/>
      <c r="I37" s="30"/>
    </row>
    <row r="38" spans="1:9" ht="36" customHeight="1" x14ac:dyDescent="0.3">
      <c r="A38" s="33" t="s">
        <v>470</v>
      </c>
      <c r="B38" s="26" t="s">
        <v>431</v>
      </c>
      <c r="C38" s="26" t="s">
        <v>471</v>
      </c>
      <c r="D38" s="34" t="s">
        <v>225</v>
      </c>
      <c r="E38" s="35" t="s">
        <v>472</v>
      </c>
      <c r="F38" s="31" t="s">
        <v>85</v>
      </c>
      <c r="G38" s="32" t="s">
        <v>473</v>
      </c>
      <c r="H38" s="31"/>
      <c r="I38" s="35" t="s">
        <v>474</v>
      </c>
    </row>
    <row r="39" spans="1:9" ht="36" customHeight="1" x14ac:dyDescent="0.3">
      <c r="A39" s="33"/>
      <c r="B39" s="26" t="s">
        <v>435</v>
      </c>
      <c r="C39" s="26" t="s">
        <v>436</v>
      </c>
      <c r="D39" s="34"/>
      <c r="E39" s="35"/>
      <c r="F39" s="31"/>
      <c r="G39" s="32"/>
      <c r="H39" s="31"/>
      <c r="I39" s="35"/>
    </row>
    <row r="40" spans="1:9" ht="30" customHeight="1" x14ac:dyDescent="0.3">
      <c r="A40" s="28" t="s">
        <v>475</v>
      </c>
      <c r="B40" s="25" t="s">
        <v>431</v>
      </c>
      <c r="C40" s="25" t="s">
        <v>476</v>
      </c>
      <c r="D40" s="29" t="s">
        <v>225</v>
      </c>
      <c r="E40" s="30" t="s">
        <v>477</v>
      </c>
      <c r="F40" s="31" t="s">
        <v>85</v>
      </c>
      <c r="G40" s="32" t="s">
        <v>478</v>
      </c>
      <c r="H40" s="31"/>
      <c r="I40" s="30" t="s">
        <v>479</v>
      </c>
    </row>
    <row r="41" spans="1:9" ht="30" customHeight="1" x14ac:dyDescent="0.3">
      <c r="A41" s="28"/>
      <c r="B41" s="25" t="s">
        <v>435</v>
      </c>
      <c r="C41" s="25" t="s">
        <v>480</v>
      </c>
      <c r="D41" s="29"/>
      <c r="E41" s="30"/>
      <c r="F41" s="31"/>
      <c r="G41" s="32"/>
      <c r="H41" s="31"/>
      <c r="I41" s="30"/>
    </row>
    <row r="42" spans="1:9" ht="63" customHeight="1" x14ac:dyDescent="0.3">
      <c r="A42" s="33" t="s">
        <v>481</v>
      </c>
      <c r="B42" s="26" t="s">
        <v>482</v>
      </c>
      <c r="C42" s="26" t="s">
        <v>483</v>
      </c>
      <c r="D42" s="34" t="s">
        <v>225</v>
      </c>
      <c r="E42" s="35" t="s">
        <v>484</v>
      </c>
      <c r="F42" s="31" t="s">
        <v>85</v>
      </c>
      <c r="G42" s="32" t="s">
        <v>485</v>
      </c>
      <c r="H42" s="31"/>
      <c r="I42" s="35" t="s">
        <v>486</v>
      </c>
    </row>
    <row r="43" spans="1:9" ht="36.75" customHeight="1" x14ac:dyDescent="0.3">
      <c r="A43" s="33"/>
      <c r="B43" s="26" t="s">
        <v>431</v>
      </c>
      <c r="C43" s="26" t="s">
        <v>224</v>
      </c>
      <c r="D43" s="34"/>
      <c r="E43" s="35"/>
      <c r="F43" s="31"/>
      <c r="G43" s="32"/>
      <c r="H43" s="31"/>
      <c r="I43" s="35"/>
    </row>
    <row r="44" spans="1:9" ht="36.75" customHeight="1" x14ac:dyDescent="0.3">
      <c r="A44" s="33"/>
      <c r="B44" s="26" t="s">
        <v>435</v>
      </c>
      <c r="C44" s="26" t="s">
        <v>436</v>
      </c>
      <c r="D44" s="34"/>
      <c r="E44" s="35"/>
      <c r="F44" s="31"/>
      <c r="G44" s="32"/>
      <c r="H44" s="31"/>
      <c r="I44" s="35"/>
    </row>
  </sheetData>
  <mergeCells count="114">
    <mergeCell ref="A1:I1"/>
    <mergeCell ref="A2:I2"/>
    <mergeCell ref="A4:C4"/>
    <mergeCell ref="E4:G4"/>
    <mergeCell ref="B5:C5"/>
    <mergeCell ref="F5:G5"/>
    <mergeCell ref="B6:C6"/>
    <mergeCell ref="F6:G6"/>
    <mergeCell ref="B7:C7"/>
    <mergeCell ref="F7:G7"/>
    <mergeCell ref="B8:C8"/>
    <mergeCell ref="F8:G8"/>
    <mergeCell ref="B9:C9"/>
    <mergeCell ref="F9:G9"/>
    <mergeCell ref="B10:C10"/>
    <mergeCell ref="F10:G10"/>
    <mergeCell ref="A11:C11"/>
    <mergeCell ref="F11:G11"/>
    <mergeCell ref="B12:C12"/>
    <mergeCell ref="F12:G12"/>
    <mergeCell ref="B13:C13"/>
    <mergeCell ref="F13:G13"/>
    <mergeCell ref="B14:C14"/>
    <mergeCell ref="F14:G14"/>
    <mergeCell ref="B15:C15"/>
    <mergeCell ref="F15:G15"/>
    <mergeCell ref="B16:C16"/>
    <mergeCell ref="F16:G16"/>
    <mergeCell ref="A17:I17"/>
    <mergeCell ref="A19:A20"/>
    <mergeCell ref="D19:D20"/>
    <mergeCell ref="E19:E20"/>
    <mergeCell ref="F19:F20"/>
    <mergeCell ref="G19:G20"/>
    <mergeCell ref="H19:H20"/>
    <mergeCell ref="I19:I20"/>
    <mergeCell ref="A21:A22"/>
    <mergeCell ref="D21:D22"/>
    <mergeCell ref="E21:E22"/>
    <mergeCell ref="F21:F22"/>
    <mergeCell ref="G21:G22"/>
    <mergeCell ref="H21:H22"/>
    <mergeCell ref="I21:I22"/>
    <mergeCell ref="A23:A24"/>
    <mergeCell ref="D23:D24"/>
    <mergeCell ref="E23:E24"/>
    <mergeCell ref="F23:F24"/>
    <mergeCell ref="G23:G24"/>
    <mergeCell ref="H23:H24"/>
    <mergeCell ref="I23:I24"/>
    <mergeCell ref="A25:A26"/>
    <mergeCell ref="D25:D26"/>
    <mergeCell ref="E25:E26"/>
    <mergeCell ref="F25:F26"/>
    <mergeCell ref="G25:G26"/>
    <mergeCell ref="H25:H26"/>
    <mergeCell ref="I25:I26"/>
    <mergeCell ref="A27:A28"/>
    <mergeCell ref="D27:D28"/>
    <mergeCell ref="E27:E28"/>
    <mergeCell ref="F27:F28"/>
    <mergeCell ref="G27:G28"/>
    <mergeCell ref="H27:H28"/>
    <mergeCell ref="I27:I28"/>
    <mergeCell ref="A29:A30"/>
    <mergeCell ref="D29:D30"/>
    <mergeCell ref="E29:E30"/>
    <mergeCell ref="F29:F30"/>
    <mergeCell ref="G29:G30"/>
    <mergeCell ref="H29:H30"/>
    <mergeCell ref="I29:I30"/>
    <mergeCell ref="A31:A32"/>
    <mergeCell ref="D31:D32"/>
    <mergeCell ref="E31:E32"/>
    <mergeCell ref="F31:F32"/>
    <mergeCell ref="G31:G32"/>
    <mergeCell ref="H31:H32"/>
    <mergeCell ref="I31:I32"/>
    <mergeCell ref="A33:I33"/>
    <mergeCell ref="A34:A35"/>
    <mergeCell ref="D34:D35"/>
    <mergeCell ref="E34:E35"/>
    <mergeCell ref="F34:F35"/>
    <mergeCell ref="G34:G35"/>
    <mergeCell ref="H34:H35"/>
    <mergeCell ref="I34:I35"/>
    <mergeCell ref="A36:A37"/>
    <mergeCell ref="D36:D37"/>
    <mergeCell ref="E36:E37"/>
    <mergeCell ref="F36:F37"/>
    <mergeCell ref="G36:G37"/>
    <mergeCell ref="H36:H37"/>
    <mergeCell ref="I36:I37"/>
    <mergeCell ref="A38:A39"/>
    <mergeCell ref="D38:D39"/>
    <mergeCell ref="E38:E39"/>
    <mergeCell ref="F38:F39"/>
    <mergeCell ref="G38:G39"/>
    <mergeCell ref="H38:H39"/>
    <mergeCell ref="I38:I39"/>
    <mergeCell ref="A40:A41"/>
    <mergeCell ref="D40:D41"/>
    <mergeCell ref="E40:E41"/>
    <mergeCell ref="F40:F41"/>
    <mergeCell ref="G40:G41"/>
    <mergeCell ref="H40:H41"/>
    <mergeCell ref="I40:I41"/>
    <mergeCell ref="A42:A44"/>
    <mergeCell ref="D42:D44"/>
    <mergeCell ref="E42:E44"/>
    <mergeCell ref="F42:F44"/>
    <mergeCell ref="G42:G44"/>
    <mergeCell ref="H42:H44"/>
    <mergeCell ref="I42:I44"/>
  </mergeCells>
  <conditionalFormatting sqref="F19:F44">
    <cfRule type="cellIs" dxfId="13" priority="2" operator="equal">
      <formula>"OK"</formula>
    </cfRule>
    <cfRule type="cellIs" dxfId="12" priority="3" operator="equal">
      <formula>"NOK"</formula>
    </cfRule>
  </conditionalFormatting>
  <dataValidations count="4">
    <dataValidation type="list" allowBlank="1" sqref="B10" xr:uid="{00000000-0002-0000-0500-000000000000}">
      <formula1>"Unitaria,Integración,Funcional,Aceptación,Regresión,No funcional"</formula1>
      <formula2>0</formula2>
    </dataValidation>
    <dataValidation type="list" allowBlank="1" sqref="D19:D44" xr:uid="{00000000-0002-0000-0500-000001000000}">
      <formula1>"Positivo (+),Negativo (-)"</formula1>
      <formula2>0</formula2>
    </dataValidation>
    <dataValidation type="list" allowBlank="1" sqref="F19:F44" xr:uid="{00000000-0002-0000-0500-000002000000}">
      <formula1>"OK,NOK"</formula1>
      <formula2>0</formula2>
    </dataValidation>
    <dataValidation type="list" allowBlank="1" sqref="H19:H44" xr:uid="{00000000-0002-0000-0500-000003000000}">
      <formula1>"Baja,Media,Alta"</formula1>
      <formula2>0</formula2>
    </dataValidation>
  </dataValidations>
  <hyperlinks>
    <hyperlink ref="G19" r:id="rId1" xr:uid="{00000000-0004-0000-0500-000000000000}"/>
    <hyperlink ref="G21" r:id="rId2" xr:uid="{00000000-0004-0000-0500-000001000000}"/>
    <hyperlink ref="G23" r:id="rId3" xr:uid="{00000000-0004-0000-0500-000002000000}"/>
    <hyperlink ref="G25" r:id="rId4" xr:uid="{00000000-0004-0000-0500-000003000000}"/>
    <hyperlink ref="G27" r:id="rId5" xr:uid="{00000000-0004-0000-0500-000004000000}"/>
    <hyperlink ref="G29" r:id="rId6" xr:uid="{00000000-0004-0000-0500-000005000000}"/>
    <hyperlink ref="G31" r:id="rId7" xr:uid="{00000000-0004-0000-0500-000006000000}"/>
    <hyperlink ref="G34" r:id="rId8" xr:uid="{00000000-0004-0000-0500-000007000000}"/>
    <hyperlink ref="G36" r:id="rId9" xr:uid="{00000000-0004-0000-0500-000008000000}"/>
    <hyperlink ref="G38" r:id="rId10" xr:uid="{00000000-0004-0000-0500-000009000000}"/>
    <hyperlink ref="G40" r:id="rId11" xr:uid="{00000000-0004-0000-0500-00000A000000}"/>
    <hyperlink ref="G42" r:id="rId12" xr:uid="{00000000-0004-0000-0500-00000B000000}"/>
  </hyperlinks>
  <pageMargins left="0.75" right="0.75" top="1" bottom="1" header="0.511811023622047" footer="0.511811023622047"/>
  <pageSetup fitToHeight="0" orientation="landscape" horizontalDpi="300" verticalDpi="300"/>
  <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52"/>
  <sheetViews>
    <sheetView showGridLines="0" zoomScale="53" zoomScaleNormal="53" workbookViewId="0">
      <pane xSplit="1" ySplit="18" topLeftCell="B19" activePane="bottomRight" state="frozen"/>
      <selection pane="topRight" activeCell="B1" sqref="B1"/>
      <selection pane="bottomLeft" activeCell="A19" sqref="A19"/>
      <selection pane="bottomRight" activeCell="N30" sqref="N30"/>
    </sheetView>
  </sheetViews>
  <sheetFormatPr baseColWidth="10" defaultColWidth="8.6640625" defaultRowHeight="14.4" x14ac:dyDescent="0.3"/>
  <cols>
    <col min="1" max="1" width="34" customWidth="1"/>
    <col min="2" max="2" width="22" customWidth="1"/>
    <col min="3" max="3" width="40" customWidth="1"/>
    <col min="4" max="4" width="14" customWidth="1"/>
    <col min="5" max="5" width="52" customWidth="1"/>
    <col min="6" max="6" width="16" customWidth="1"/>
    <col min="7" max="7" width="36" customWidth="1"/>
    <col min="8" max="8" width="16" customWidth="1"/>
    <col min="9" max="9" width="46" customWidth="1"/>
  </cols>
  <sheetData>
    <row r="1" spans="1:9" ht="33.75" customHeight="1" x14ac:dyDescent="0.3">
      <c r="A1" s="45" t="s">
        <v>487</v>
      </c>
      <c r="B1" s="45"/>
      <c r="C1" s="45"/>
      <c r="D1" s="45"/>
      <c r="E1" s="45"/>
      <c r="F1" s="45"/>
      <c r="G1" s="45"/>
      <c r="H1" s="45"/>
      <c r="I1" s="45"/>
    </row>
    <row r="2" spans="1:9" ht="15" customHeight="1" x14ac:dyDescent="0.3">
      <c r="A2" s="46" t="s">
        <v>148</v>
      </c>
      <c r="B2" s="46"/>
      <c r="C2" s="46"/>
      <c r="D2" s="46"/>
      <c r="E2" s="46"/>
      <c r="F2" s="46"/>
      <c r="G2" s="46"/>
      <c r="H2" s="46"/>
      <c r="I2" s="46"/>
    </row>
    <row r="4" spans="1:9" ht="15" customHeight="1" x14ac:dyDescent="0.3">
      <c r="A4" s="47" t="s">
        <v>149</v>
      </c>
      <c r="B4" s="47"/>
      <c r="C4" s="47"/>
      <c r="E4" s="47" t="s">
        <v>68</v>
      </c>
      <c r="F4" s="47"/>
      <c r="G4" s="47"/>
    </row>
    <row r="5" spans="1:9" ht="15" customHeight="1" x14ac:dyDescent="0.3">
      <c r="A5" s="4" t="s">
        <v>150</v>
      </c>
      <c r="B5" s="42" t="s">
        <v>151</v>
      </c>
      <c r="C5" s="42"/>
      <c r="E5" s="22" t="s">
        <v>69</v>
      </c>
      <c r="F5" s="38">
        <f>COUNTIF(A19:A52,"HE?_HU?_CA?_CP???")</f>
        <v>11</v>
      </c>
      <c r="G5" s="38"/>
    </row>
    <row r="6" spans="1:9" ht="15" customHeight="1" x14ac:dyDescent="0.3">
      <c r="A6" s="4" t="s">
        <v>152</v>
      </c>
      <c r="B6" s="42" t="s">
        <v>488</v>
      </c>
      <c r="C6" s="42"/>
      <c r="E6" s="22" t="s">
        <v>154</v>
      </c>
      <c r="F6" s="38">
        <f>COUNTIF(F19:F52,"OK")+COUNTIF(F19:F52,"NOK")</f>
        <v>11</v>
      </c>
      <c r="G6" s="38"/>
    </row>
    <row r="7" spans="1:9" ht="15" customHeight="1" x14ac:dyDescent="0.3">
      <c r="A7" s="4" t="s">
        <v>155</v>
      </c>
      <c r="B7" s="42" t="s">
        <v>156</v>
      </c>
      <c r="C7" s="42"/>
      <c r="E7" s="22" t="s">
        <v>157</v>
      </c>
      <c r="F7" s="38">
        <f>COUNTIF(F19:F52,"OK")</f>
        <v>11</v>
      </c>
      <c r="G7" s="38"/>
    </row>
    <row r="8" spans="1:9" ht="15" customHeight="1" x14ac:dyDescent="0.3">
      <c r="A8" s="4" t="s">
        <v>158</v>
      </c>
      <c r="B8" s="42"/>
      <c r="C8" s="42"/>
      <c r="E8" s="22" t="s">
        <v>159</v>
      </c>
      <c r="F8" s="38">
        <f>COUNTIF(F19:F52,"NOK")</f>
        <v>0</v>
      </c>
      <c r="G8" s="38"/>
    </row>
    <row r="9" spans="1:9" ht="15" customHeight="1" x14ac:dyDescent="0.3">
      <c r="A9" s="4" t="s">
        <v>160</v>
      </c>
      <c r="B9" s="42"/>
      <c r="C9" s="42"/>
      <c r="E9" s="22" t="s">
        <v>132</v>
      </c>
      <c r="F9" s="43">
        <f>IF(F6=0,"Sin ejecutados",F7/F6)</f>
        <v>1</v>
      </c>
      <c r="G9" s="43"/>
    </row>
    <row r="10" spans="1:9" ht="15" customHeight="1" x14ac:dyDescent="0.3">
      <c r="A10" s="4" t="s">
        <v>161</v>
      </c>
      <c r="B10" s="42" t="s">
        <v>162</v>
      </c>
      <c r="C10" s="42"/>
      <c r="E10" s="22" t="s">
        <v>134</v>
      </c>
      <c r="F10" s="43">
        <f>IF(F6=0,"Sin ejecutados",F8/F6)</f>
        <v>0</v>
      </c>
      <c r="G10" s="43"/>
    </row>
    <row r="11" spans="1:9" ht="15" customHeight="1" x14ac:dyDescent="0.3">
      <c r="A11" s="44" t="s">
        <v>163</v>
      </c>
      <c r="B11" s="44"/>
      <c r="C11" s="44"/>
      <c r="E11" s="22" t="s">
        <v>164</v>
      </c>
      <c r="F11" s="38">
        <f>F5-F6</f>
        <v>0</v>
      </c>
      <c r="G11" s="38"/>
    </row>
    <row r="12" spans="1:9" ht="15" customHeight="1" x14ac:dyDescent="0.3">
      <c r="A12" s="4" t="s">
        <v>489</v>
      </c>
      <c r="B12" s="37">
        <f>COUNTIF(A19:A52,"*_CA1_*")</f>
        <v>3</v>
      </c>
      <c r="C12" s="37"/>
      <c r="E12" s="22" t="s">
        <v>166</v>
      </c>
      <c r="F12" s="38">
        <f>COUNTIF(D19:D52,"Positivo*")</f>
        <v>5</v>
      </c>
      <c r="G12" s="38"/>
    </row>
    <row r="13" spans="1:9" ht="15" customHeight="1" x14ac:dyDescent="0.3">
      <c r="A13" s="4" t="s">
        <v>490</v>
      </c>
      <c r="B13" s="37">
        <f>COUNTIF(A19:A52,"*_CA2_*")</f>
        <v>4</v>
      </c>
      <c r="C13" s="37"/>
      <c r="E13" s="22" t="s">
        <v>168</v>
      </c>
      <c r="F13" s="38">
        <f>COUNTIF(D19:D52,"Negativo*")</f>
        <v>6</v>
      </c>
      <c r="G13" s="38"/>
    </row>
    <row r="14" spans="1:9" ht="15" customHeight="1" x14ac:dyDescent="0.3">
      <c r="A14" s="4" t="s">
        <v>491</v>
      </c>
      <c r="B14" s="37">
        <f>COUNTIF(A19:A52,"*_CA3_*")</f>
        <v>4</v>
      </c>
      <c r="C14" s="37"/>
      <c r="E14" s="22" t="s">
        <v>170</v>
      </c>
      <c r="F14" s="38">
        <f>COUNTIFS(F19:F52,"NOK",H19:H52,"*Baja")</f>
        <v>0</v>
      </c>
      <c r="G14" s="38"/>
    </row>
    <row r="15" spans="1:9" ht="15" customHeight="1" x14ac:dyDescent="0.3">
      <c r="A15" s="23" t="s">
        <v>171</v>
      </c>
      <c r="B15" s="39">
        <f>COUNTIF(A19:A52,"*_CA4_*")</f>
        <v>0</v>
      </c>
      <c r="C15" s="39"/>
      <c r="E15" s="22" t="s">
        <v>172</v>
      </c>
      <c r="F15" s="38">
        <f>COUNTIFS(F19:F52,"NOK",H19:H52,"*Media")</f>
        <v>0</v>
      </c>
      <c r="G15" s="38"/>
    </row>
    <row r="16" spans="1:9" ht="15" customHeight="1" x14ac:dyDescent="0.3">
      <c r="A16" s="24" t="s">
        <v>173</v>
      </c>
      <c r="B16" s="40">
        <f>SUM(B12:B15)</f>
        <v>11</v>
      </c>
      <c r="C16" s="40"/>
      <c r="E16" s="22" t="s">
        <v>174</v>
      </c>
      <c r="F16" s="38">
        <f>COUNTIFS(F19:F52,"NOK",H19:H52,"*Alta")</f>
        <v>0</v>
      </c>
      <c r="G16" s="38"/>
    </row>
    <row r="17" spans="1:9" ht="15" customHeight="1" x14ac:dyDescent="0.3">
      <c r="A17" s="41" t="s">
        <v>175</v>
      </c>
      <c r="B17" s="41"/>
      <c r="C17" s="41"/>
      <c r="D17" s="41"/>
      <c r="E17" s="41"/>
      <c r="F17" s="41"/>
      <c r="G17" s="41"/>
      <c r="H17" s="41"/>
      <c r="I17" s="41"/>
    </row>
    <row r="18" spans="1:9" ht="33.75" customHeight="1" x14ac:dyDescent="0.3">
      <c r="A18" s="6" t="s">
        <v>16</v>
      </c>
      <c r="B18" s="6" t="s">
        <v>176</v>
      </c>
      <c r="C18" s="6" t="s">
        <v>177</v>
      </c>
      <c r="D18" s="6" t="s">
        <v>20</v>
      </c>
      <c r="E18" s="6" t="s">
        <v>22</v>
      </c>
      <c r="F18" s="6" t="s">
        <v>178</v>
      </c>
      <c r="G18" s="6" t="s">
        <v>179</v>
      </c>
      <c r="H18" s="6" t="s">
        <v>180</v>
      </c>
      <c r="I18" s="6" t="s">
        <v>24</v>
      </c>
    </row>
    <row r="19" spans="1:9" ht="33" customHeight="1" x14ac:dyDescent="0.3">
      <c r="A19" s="28" t="s">
        <v>492</v>
      </c>
      <c r="B19" s="25" t="s">
        <v>404</v>
      </c>
      <c r="C19" s="25" t="s">
        <v>493</v>
      </c>
      <c r="D19" s="29" t="s">
        <v>184</v>
      </c>
      <c r="E19" s="30" t="s">
        <v>494</v>
      </c>
      <c r="F19" s="31" t="s">
        <v>85</v>
      </c>
      <c r="G19" s="32" t="s">
        <v>495</v>
      </c>
      <c r="H19" s="31"/>
      <c r="I19" s="30" t="s">
        <v>496</v>
      </c>
    </row>
    <row r="20" spans="1:9" ht="33" customHeight="1" x14ac:dyDescent="0.3">
      <c r="A20" s="28"/>
      <c r="B20" s="25" t="s">
        <v>497</v>
      </c>
      <c r="C20" s="25" t="s">
        <v>498</v>
      </c>
      <c r="D20" s="29"/>
      <c r="E20" s="30"/>
      <c r="F20" s="31"/>
      <c r="G20" s="32"/>
      <c r="H20" s="31"/>
      <c r="I20" s="30"/>
    </row>
    <row r="21" spans="1:9" ht="33" customHeight="1" x14ac:dyDescent="0.3">
      <c r="A21" s="28"/>
      <c r="B21" s="25" t="s">
        <v>435</v>
      </c>
      <c r="C21" s="25" t="s">
        <v>499</v>
      </c>
      <c r="D21" s="29"/>
      <c r="E21" s="30"/>
      <c r="F21" s="31"/>
      <c r="G21" s="32"/>
      <c r="H21" s="31"/>
      <c r="I21" s="30"/>
    </row>
    <row r="22" spans="1:9" ht="36.75" customHeight="1" x14ac:dyDescent="0.3">
      <c r="A22" s="33" t="s">
        <v>500</v>
      </c>
      <c r="B22" s="26" t="s">
        <v>404</v>
      </c>
      <c r="C22" s="26" t="s">
        <v>405</v>
      </c>
      <c r="D22" s="34" t="s">
        <v>184</v>
      </c>
      <c r="E22" s="35" t="s">
        <v>501</v>
      </c>
      <c r="F22" s="31" t="s">
        <v>85</v>
      </c>
      <c r="G22" s="32" t="s">
        <v>495</v>
      </c>
      <c r="H22" s="31"/>
      <c r="I22" s="35" t="s">
        <v>502</v>
      </c>
    </row>
    <row r="23" spans="1:9" ht="36.75" customHeight="1" x14ac:dyDescent="0.3">
      <c r="A23" s="33"/>
      <c r="B23" s="26" t="s">
        <v>497</v>
      </c>
      <c r="C23" s="26" t="s">
        <v>498</v>
      </c>
      <c r="D23" s="34"/>
      <c r="E23" s="35"/>
      <c r="F23" s="31"/>
      <c r="G23" s="32"/>
      <c r="H23" s="31"/>
      <c r="I23" s="35"/>
    </row>
    <row r="24" spans="1:9" ht="36.75" customHeight="1" x14ac:dyDescent="0.3">
      <c r="A24" s="33"/>
      <c r="B24" s="26" t="s">
        <v>435</v>
      </c>
      <c r="C24" s="26" t="s">
        <v>499</v>
      </c>
      <c r="D24" s="34"/>
      <c r="E24" s="35"/>
      <c r="F24" s="31"/>
      <c r="G24" s="32"/>
      <c r="H24" s="31"/>
      <c r="I24" s="35"/>
    </row>
    <row r="25" spans="1:9" ht="33" customHeight="1" x14ac:dyDescent="0.3">
      <c r="A25" s="28" t="s">
        <v>503</v>
      </c>
      <c r="B25" s="25" t="s">
        <v>404</v>
      </c>
      <c r="C25" s="25" t="s">
        <v>405</v>
      </c>
      <c r="D25" s="29" t="s">
        <v>184</v>
      </c>
      <c r="E25" s="30" t="s">
        <v>504</v>
      </c>
      <c r="F25" s="31" t="s">
        <v>85</v>
      </c>
      <c r="G25" s="32" t="s">
        <v>495</v>
      </c>
      <c r="H25" s="31"/>
      <c r="I25" s="30" t="s">
        <v>505</v>
      </c>
    </row>
    <row r="26" spans="1:9" ht="33" customHeight="1" x14ac:dyDescent="0.3">
      <c r="A26" s="28"/>
      <c r="B26" s="25" t="s">
        <v>497</v>
      </c>
      <c r="C26" s="25" t="s">
        <v>506</v>
      </c>
      <c r="D26" s="29"/>
      <c r="E26" s="30"/>
      <c r="F26" s="31"/>
      <c r="G26" s="32"/>
      <c r="H26" s="31"/>
      <c r="I26" s="30"/>
    </row>
    <row r="27" spans="1:9" ht="33" customHeight="1" x14ac:dyDescent="0.3">
      <c r="A27" s="28"/>
      <c r="B27" s="25" t="s">
        <v>435</v>
      </c>
      <c r="C27" s="25" t="s">
        <v>507</v>
      </c>
      <c r="D27" s="29"/>
      <c r="E27" s="30"/>
      <c r="F27" s="31"/>
      <c r="G27" s="32"/>
      <c r="H27" s="31"/>
      <c r="I27" s="30"/>
    </row>
    <row r="28" spans="1:9" ht="36.75" customHeight="1" x14ac:dyDescent="0.3">
      <c r="A28" s="33" t="s">
        <v>508</v>
      </c>
      <c r="B28" s="26" t="s">
        <v>404</v>
      </c>
      <c r="C28" s="26" t="s">
        <v>509</v>
      </c>
      <c r="D28" s="34" t="s">
        <v>184</v>
      </c>
      <c r="E28" s="35" t="s">
        <v>510</v>
      </c>
      <c r="F28" s="31" t="s">
        <v>85</v>
      </c>
      <c r="G28" s="32" t="s">
        <v>495</v>
      </c>
      <c r="H28" s="31"/>
      <c r="I28" s="35" t="s">
        <v>511</v>
      </c>
    </row>
    <row r="29" spans="1:9" ht="36.75" customHeight="1" x14ac:dyDescent="0.3">
      <c r="A29" s="33"/>
      <c r="B29" s="26" t="s">
        <v>497</v>
      </c>
      <c r="C29" s="26" t="s">
        <v>506</v>
      </c>
      <c r="D29" s="34"/>
      <c r="E29" s="35"/>
      <c r="F29" s="31"/>
      <c r="G29" s="32"/>
      <c r="H29" s="31"/>
      <c r="I29" s="35"/>
    </row>
    <row r="30" spans="1:9" ht="36.75" customHeight="1" x14ac:dyDescent="0.3">
      <c r="A30" s="33"/>
      <c r="B30" s="26" t="s">
        <v>435</v>
      </c>
      <c r="C30" s="26" t="s">
        <v>507</v>
      </c>
      <c r="D30" s="34"/>
      <c r="E30" s="35"/>
      <c r="F30" s="31"/>
      <c r="G30" s="32"/>
      <c r="H30" s="31"/>
      <c r="I30" s="35"/>
    </row>
    <row r="31" spans="1:9" ht="41.25" customHeight="1" x14ac:dyDescent="0.3">
      <c r="A31" s="28" t="s">
        <v>512</v>
      </c>
      <c r="B31" s="25" t="s">
        <v>404</v>
      </c>
      <c r="C31" s="25" t="s">
        <v>513</v>
      </c>
      <c r="D31" s="29" t="s">
        <v>225</v>
      </c>
      <c r="E31" s="30" t="s">
        <v>514</v>
      </c>
      <c r="F31" s="31" t="s">
        <v>85</v>
      </c>
      <c r="G31" s="32" t="s">
        <v>495</v>
      </c>
      <c r="H31" s="31"/>
      <c r="I31" s="30" t="s">
        <v>515</v>
      </c>
    </row>
    <row r="32" spans="1:9" ht="54" customHeight="1" x14ac:dyDescent="0.3">
      <c r="A32" s="28"/>
      <c r="B32" s="25" t="s">
        <v>497</v>
      </c>
      <c r="C32" s="25" t="s">
        <v>516</v>
      </c>
      <c r="D32" s="29"/>
      <c r="E32" s="30"/>
      <c r="F32" s="31"/>
      <c r="G32" s="32"/>
      <c r="H32" s="31"/>
      <c r="I32" s="30"/>
    </row>
    <row r="33" spans="1:9" ht="41.25" customHeight="1" x14ac:dyDescent="0.3">
      <c r="A33" s="28"/>
      <c r="B33" s="25" t="s">
        <v>435</v>
      </c>
      <c r="C33" s="25" t="s">
        <v>507</v>
      </c>
      <c r="D33" s="29"/>
      <c r="E33" s="30"/>
      <c r="F33" s="31"/>
      <c r="G33" s="32"/>
      <c r="H33" s="31"/>
      <c r="I33" s="30"/>
    </row>
    <row r="34" spans="1:9" ht="75.75" customHeight="1" x14ac:dyDescent="0.3">
      <c r="A34" s="33" t="s">
        <v>517</v>
      </c>
      <c r="B34" s="26" t="s">
        <v>404</v>
      </c>
      <c r="C34" s="26" t="s">
        <v>518</v>
      </c>
      <c r="D34" s="34" t="s">
        <v>225</v>
      </c>
      <c r="E34" s="35" t="s">
        <v>519</v>
      </c>
      <c r="F34" s="31" t="s">
        <v>85</v>
      </c>
      <c r="G34" s="32" t="s">
        <v>495</v>
      </c>
      <c r="H34" s="31"/>
      <c r="I34" s="35" t="s">
        <v>520</v>
      </c>
    </row>
    <row r="35" spans="1:9" ht="63" customHeight="1" x14ac:dyDescent="0.3">
      <c r="A35" s="33"/>
      <c r="B35" s="26" t="s">
        <v>497</v>
      </c>
      <c r="C35" s="26" t="s">
        <v>506</v>
      </c>
      <c r="D35" s="34"/>
      <c r="E35" s="35"/>
      <c r="F35" s="31"/>
      <c r="G35" s="32"/>
      <c r="H35" s="31"/>
      <c r="I35" s="35"/>
    </row>
    <row r="36" spans="1:9" ht="63" customHeight="1" x14ac:dyDescent="0.3">
      <c r="A36" s="33"/>
      <c r="B36" s="26" t="s">
        <v>435</v>
      </c>
      <c r="C36" s="26" t="s">
        <v>521</v>
      </c>
      <c r="D36" s="34"/>
      <c r="E36" s="35"/>
      <c r="F36" s="31"/>
      <c r="G36" s="32"/>
      <c r="H36" s="31"/>
      <c r="I36" s="35"/>
    </row>
    <row r="37" spans="1:9" ht="30" customHeight="1" x14ac:dyDescent="0.3">
      <c r="A37" s="36" t="s">
        <v>522</v>
      </c>
      <c r="B37" s="36"/>
      <c r="C37" s="36"/>
      <c r="D37" s="36"/>
      <c r="E37" s="36"/>
      <c r="F37" s="36"/>
      <c r="G37" s="36"/>
      <c r="H37" s="36"/>
      <c r="I37" s="36"/>
    </row>
    <row r="38" spans="1:9" ht="36.75" customHeight="1" x14ac:dyDescent="0.3">
      <c r="A38" s="28" t="s">
        <v>523</v>
      </c>
      <c r="B38" s="25" t="s">
        <v>404</v>
      </c>
      <c r="C38" s="25" t="s">
        <v>524</v>
      </c>
      <c r="D38" s="29" t="s">
        <v>184</v>
      </c>
      <c r="E38" s="30" t="s">
        <v>525</v>
      </c>
      <c r="F38" s="31" t="s">
        <v>85</v>
      </c>
      <c r="G38" s="32" t="s">
        <v>526</v>
      </c>
      <c r="H38" s="31"/>
      <c r="I38" s="30" t="s">
        <v>527</v>
      </c>
    </row>
    <row r="39" spans="1:9" ht="24" customHeight="1" x14ac:dyDescent="0.3">
      <c r="A39" s="28"/>
      <c r="B39" s="25" t="s">
        <v>435</v>
      </c>
      <c r="C39" s="25" t="s">
        <v>528</v>
      </c>
      <c r="D39" s="29"/>
      <c r="E39" s="30"/>
      <c r="F39" s="31"/>
      <c r="G39" s="32"/>
      <c r="H39" s="31"/>
      <c r="I39" s="30"/>
    </row>
    <row r="40" spans="1:9" ht="36.75" customHeight="1" x14ac:dyDescent="0.3">
      <c r="A40" s="28"/>
      <c r="B40" s="25" t="s">
        <v>529</v>
      </c>
      <c r="C40" s="25" t="s">
        <v>530</v>
      </c>
      <c r="D40" s="29"/>
      <c r="E40" s="30"/>
      <c r="F40" s="31"/>
      <c r="G40" s="32"/>
      <c r="H40" s="31"/>
      <c r="I40" s="30"/>
    </row>
    <row r="41" spans="1:9" ht="45" customHeight="1" x14ac:dyDescent="0.3">
      <c r="A41" s="33" t="s">
        <v>531</v>
      </c>
      <c r="B41" s="26" t="s">
        <v>404</v>
      </c>
      <c r="C41" s="26" t="s">
        <v>532</v>
      </c>
      <c r="D41" s="34" t="s">
        <v>225</v>
      </c>
      <c r="E41" s="35" t="s">
        <v>533</v>
      </c>
      <c r="F41" s="31" t="s">
        <v>85</v>
      </c>
      <c r="G41" s="32" t="s">
        <v>534</v>
      </c>
      <c r="H41" s="31"/>
      <c r="I41" s="35" t="s">
        <v>535</v>
      </c>
    </row>
    <row r="42" spans="1:9" ht="31.5" customHeight="1" x14ac:dyDescent="0.3">
      <c r="A42" s="33"/>
      <c r="B42" s="26" t="s">
        <v>536</v>
      </c>
      <c r="C42" s="26" t="s">
        <v>537</v>
      </c>
      <c r="D42" s="34"/>
      <c r="E42" s="35"/>
      <c r="F42" s="31"/>
      <c r="G42" s="32"/>
      <c r="H42" s="31"/>
      <c r="I42" s="35"/>
    </row>
    <row r="43" spans="1:9" ht="18.75" customHeight="1" x14ac:dyDescent="0.3">
      <c r="A43" s="33"/>
      <c r="B43" s="26" t="s">
        <v>538</v>
      </c>
      <c r="C43" s="26" t="s">
        <v>539</v>
      </c>
      <c r="D43" s="34"/>
      <c r="E43" s="35"/>
      <c r="F43" s="31"/>
      <c r="G43" s="32"/>
      <c r="H43" s="31"/>
      <c r="I43" s="35"/>
    </row>
    <row r="44" spans="1:9" ht="33" customHeight="1" x14ac:dyDescent="0.3">
      <c r="A44" s="28" t="s">
        <v>540</v>
      </c>
      <c r="B44" s="25" t="s">
        <v>541</v>
      </c>
      <c r="C44" s="25" t="s">
        <v>189</v>
      </c>
      <c r="D44" s="29" t="s">
        <v>225</v>
      </c>
      <c r="E44" s="30" t="s">
        <v>542</v>
      </c>
      <c r="F44" s="31" t="s">
        <v>85</v>
      </c>
      <c r="G44" s="32" t="s">
        <v>543</v>
      </c>
      <c r="H44" s="31"/>
      <c r="I44" s="30" t="s">
        <v>544</v>
      </c>
    </row>
    <row r="45" spans="1:9" ht="33" customHeight="1" x14ac:dyDescent="0.3">
      <c r="A45" s="28"/>
      <c r="B45" s="25" t="s">
        <v>196</v>
      </c>
      <c r="C45" s="25" t="s">
        <v>357</v>
      </c>
      <c r="D45" s="29"/>
      <c r="E45" s="30"/>
      <c r="F45" s="31"/>
      <c r="G45" s="32"/>
      <c r="H45" s="31"/>
      <c r="I45" s="30"/>
    </row>
    <row r="46" spans="1:9" ht="33" customHeight="1" x14ac:dyDescent="0.3">
      <c r="A46" s="28"/>
      <c r="B46" s="25" t="s">
        <v>545</v>
      </c>
      <c r="C46" s="25" t="s">
        <v>498</v>
      </c>
      <c r="D46" s="29"/>
      <c r="E46" s="30"/>
      <c r="F46" s="31"/>
      <c r="G46" s="32"/>
      <c r="H46" s="31"/>
      <c r="I46" s="30"/>
    </row>
    <row r="47" spans="1:9" ht="45" customHeight="1" x14ac:dyDescent="0.3">
      <c r="A47" s="33" t="s">
        <v>546</v>
      </c>
      <c r="B47" s="26" t="s">
        <v>287</v>
      </c>
      <c r="C47" s="26" t="s">
        <v>547</v>
      </c>
      <c r="D47" s="34" t="s">
        <v>225</v>
      </c>
      <c r="E47" s="35" t="s">
        <v>548</v>
      </c>
      <c r="F47" s="31" t="s">
        <v>85</v>
      </c>
      <c r="G47" s="32" t="s">
        <v>549</v>
      </c>
      <c r="H47" s="31"/>
      <c r="I47" s="35" t="s">
        <v>550</v>
      </c>
    </row>
    <row r="48" spans="1:9" ht="31.5" customHeight="1" x14ac:dyDescent="0.3">
      <c r="A48" s="33"/>
      <c r="B48" s="26" t="s">
        <v>292</v>
      </c>
      <c r="C48" s="26" t="s">
        <v>338</v>
      </c>
      <c r="D48" s="34"/>
      <c r="E48" s="35"/>
      <c r="F48" s="31"/>
      <c r="G48" s="32"/>
      <c r="H48" s="31"/>
      <c r="I48" s="35"/>
    </row>
    <row r="49" spans="1:9" ht="18.75" customHeight="1" x14ac:dyDescent="0.3">
      <c r="A49" s="33"/>
      <c r="B49" s="26" t="s">
        <v>294</v>
      </c>
      <c r="C49" s="26" t="s">
        <v>551</v>
      </c>
      <c r="D49" s="34"/>
      <c r="E49" s="35"/>
      <c r="F49" s="31"/>
      <c r="G49" s="32"/>
      <c r="H49" s="31"/>
      <c r="I49" s="35"/>
    </row>
    <row r="50" spans="1:9" ht="31.5" customHeight="1" x14ac:dyDescent="0.3">
      <c r="A50" s="28" t="s">
        <v>552</v>
      </c>
      <c r="B50" s="25" t="s">
        <v>287</v>
      </c>
      <c r="C50" s="25" t="s">
        <v>553</v>
      </c>
      <c r="D50" s="29" t="s">
        <v>225</v>
      </c>
      <c r="E50" s="30" t="s">
        <v>554</v>
      </c>
      <c r="F50" s="31" t="s">
        <v>85</v>
      </c>
      <c r="G50" s="32" t="s">
        <v>555</v>
      </c>
      <c r="H50" s="31"/>
      <c r="I50" s="30" t="s">
        <v>556</v>
      </c>
    </row>
    <row r="51" spans="1:9" ht="31.5" customHeight="1" x14ac:dyDescent="0.3">
      <c r="A51" s="28"/>
      <c r="B51" s="25" t="s">
        <v>292</v>
      </c>
      <c r="C51" s="25" t="s">
        <v>338</v>
      </c>
      <c r="D51" s="29"/>
      <c r="E51" s="30"/>
      <c r="F51" s="31"/>
      <c r="G51" s="32"/>
      <c r="H51" s="31"/>
      <c r="I51" s="30"/>
    </row>
    <row r="52" spans="1:9" ht="18.75" customHeight="1" x14ac:dyDescent="0.3">
      <c r="A52" s="28"/>
      <c r="B52" s="25" t="s">
        <v>294</v>
      </c>
      <c r="C52" s="25" t="s">
        <v>557</v>
      </c>
      <c r="D52" s="29"/>
      <c r="E52" s="30"/>
      <c r="F52" s="31"/>
      <c r="G52" s="32"/>
      <c r="H52" s="31"/>
      <c r="I52" s="30"/>
    </row>
  </sheetData>
  <mergeCells count="107">
    <mergeCell ref="A1:I1"/>
    <mergeCell ref="A2:I2"/>
    <mergeCell ref="A4:C4"/>
    <mergeCell ref="E4:G4"/>
    <mergeCell ref="B5:C5"/>
    <mergeCell ref="F5:G5"/>
    <mergeCell ref="B6:C6"/>
    <mergeCell ref="F6:G6"/>
    <mergeCell ref="B7:C7"/>
    <mergeCell ref="F7:G7"/>
    <mergeCell ref="B8:C8"/>
    <mergeCell ref="F8:G8"/>
    <mergeCell ref="B9:C9"/>
    <mergeCell ref="F9:G9"/>
    <mergeCell ref="B10:C10"/>
    <mergeCell ref="F10:G10"/>
    <mergeCell ref="A11:C11"/>
    <mergeCell ref="F11:G11"/>
    <mergeCell ref="B12:C12"/>
    <mergeCell ref="F12:G12"/>
    <mergeCell ref="B13:C13"/>
    <mergeCell ref="F13:G13"/>
    <mergeCell ref="B14:C14"/>
    <mergeCell ref="F14:G14"/>
    <mergeCell ref="B15:C15"/>
    <mergeCell ref="F15:G15"/>
    <mergeCell ref="B16:C16"/>
    <mergeCell ref="F16:G16"/>
    <mergeCell ref="A17:I17"/>
    <mergeCell ref="A19:A21"/>
    <mergeCell ref="D19:D21"/>
    <mergeCell ref="E19:E21"/>
    <mergeCell ref="F19:F21"/>
    <mergeCell ref="G19:G21"/>
    <mergeCell ref="H19:H21"/>
    <mergeCell ref="I19:I21"/>
    <mergeCell ref="A22:A24"/>
    <mergeCell ref="D22:D24"/>
    <mergeCell ref="E22:E24"/>
    <mergeCell ref="F22:F24"/>
    <mergeCell ref="G22:G24"/>
    <mergeCell ref="H22:H24"/>
    <mergeCell ref="I22:I24"/>
    <mergeCell ref="A25:A27"/>
    <mergeCell ref="D25:D27"/>
    <mergeCell ref="E25:E27"/>
    <mergeCell ref="F25:F27"/>
    <mergeCell ref="G25:G27"/>
    <mergeCell ref="H25:H27"/>
    <mergeCell ref="I25:I27"/>
    <mergeCell ref="A28:A30"/>
    <mergeCell ref="D28:D30"/>
    <mergeCell ref="E28:E30"/>
    <mergeCell ref="F28:F30"/>
    <mergeCell ref="G28:G30"/>
    <mergeCell ref="H28:H30"/>
    <mergeCell ref="I28:I30"/>
    <mergeCell ref="A31:A33"/>
    <mergeCell ref="D31:D33"/>
    <mergeCell ref="E31:E33"/>
    <mergeCell ref="F31:F33"/>
    <mergeCell ref="G31:G33"/>
    <mergeCell ref="H31:H33"/>
    <mergeCell ref="I31:I33"/>
    <mergeCell ref="A34:A36"/>
    <mergeCell ref="D34:D36"/>
    <mergeCell ref="E34:E36"/>
    <mergeCell ref="F34:F36"/>
    <mergeCell ref="G34:G36"/>
    <mergeCell ref="H34:H36"/>
    <mergeCell ref="I34:I36"/>
    <mergeCell ref="A37:I37"/>
    <mergeCell ref="A38:A40"/>
    <mergeCell ref="D38:D40"/>
    <mergeCell ref="E38:E40"/>
    <mergeCell ref="F38:F40"/>
    <mergeCell ref="G38:G40"/>
    <mergeCell ref="H38:H40"/>
    <mergeCell ref="I38:I40"/>
    <mergeCell ref="A41:A43"/>
    <mergeCell ref="D41:D43"/>
    <mergeCell ref="E41:E43"/>
    <mergeCell ref="F41:F43"/>
    <mergeCell ref="G41:G43"/>
    <mergeCell ref="H41:H43"/>
    <mergeCell ref="I41:I43"/>
    <mergeCell ref="A50:A52"/>
    <mergeCell ref="D50:D52"/>
    <mergeCell ref="E50:E52"/>
    <mergeCell ref="F50:F52"/>
    <mergeCell ref="G50:G52"/>
    <mergeCell ref="H50:H52"/>
    <mergeCell ref="I50:I52"/>
    <mergeCell ref="A44:A46"/>
    <mergeCell ref="D44:D46"/>
    <mergeCell ref="E44:E46"/>
    <mergeCell ref="F44:F46"/>
    <mergeCell ref="G44:G46"/>
    <mergeCell ref="H44:H46"/>
    <mergeCell ref="I44:I46"/>
    <mergeCell ref="A47:A49"/>
    <mergeCell ref="D47:D49"/>
    <mergeCell ref="E47:E49"/>
    <mergeCell ref="F47:F49"/>
    <mergeCell ref="G47:G49"/>
    <mergeCell ref="H47:H49"/>
    <mergeCell ref="I47:I49"/>
  </mergeCells>
  <conditionalFormatting sqref="F19:F52">
    <cfRule type="cellIs" dxfId="11" priority="2" operator="equal">
      <formula>"OK"</formula>
    </cfRule>
    <cfRule type="cellIs" dxfId="10" priority="3" operator="equal">
      <formula>"NOK"</formula>
    </cfRule>
  </conditionalFormatting>
  <dataValidations count="4">
    <dataValidation type="list" allowBlank="1" sqref="B10" xr:uid="{00000000-0002-0000-0600-000000000000}">
      <formula1>"Unitaria,Integración,Funcional,Aceptación,Regresión,No funcional"</formula1>
      <formula2>0</formula2>
    </dataValidation>
    <dataValidation type="list" allowBlank="1" sqref="D19:D52" xr:uid="{00000000-0002-0000-0600-000001000000}">
      <formula1>"Positivo (+),Negativo (-)"</formula1>
      <formula2>0</formula2>
    </dataValidation>
    <dataValidation type="list" allowBlank="1" sqref="F19:F52" xr:uid="{00000000-0002-0000-0600-000002000000}">
      <formula1>"OK,NOK"</formula1>
      <formula2>0</formula2>
    </dataValidation>
    <dataValidation type="list" allowBlank="1" sqref="H19:H52" xr:uid="{00000000-0002-0000-0600-000003000000}">
      <formula1>"Baja,Media,Alta"</formula1>
      <formula2>0</formula2>
    </dataValidation>
  </dataValidations>
  <hyperlinks>
    <hyperlink ref="G19" r:id="rId1" xr:uid="{00000000-0004-0000-0600-000000000000}"/>
    <hyperlink ref="G22" r:id="rId2" xr:uid="{00000000-0004-0000-0600-000001000000}"/>
    <hyperlink ref="G25" r:id="rId3" xr:uid="{00000000-0004-0000-0600-000002000000}"/>
    <hyperlink ref="G28" r:id="rId4" xr:uid="{00000000-0004-0000-0600-000003000000}"/>
    <hyperlink ref="G31" r:id="rId5" xr:uid="{00000000-0004-0000-0600-000004000000}"/>
    <hyperlink ref="G34" r:id="rId6" xr:uid="{00000000-0004-0000-0600-000005000000}"/>
    <hyperlink ref="G38" r:id="rId7" xr:uid="{00000000-0004-0000-0600-000006000000}"/>
    <hyperlink ref="G41" r:id="rId8" xr:uid="{00000000-0004-0000-0600-000007000000}"/>
    <hyperlink ref="G44" r:id="rId9" xr:uid="{00000000-0004-0000-0600-000008000000}"/>
    <hyperlink ref="G47" r:id="rId10" xr:uid="{00000000-0004-0000-0600-000009000000}"/>
    <hyperlink ref="G50" r:id="rId11" xr:uid="{00000000-0004-0000-0600-00000A000000}"/>
  </hyperlinks>
  <pageMargins left="0.75" right="0.75" top="1" bottom="1" header="0.511811023622047" footer="0.511811023622047"/>
  <pageSetup fitToHeight="0" orientation="landscape" horizontalDpi="300" verticalDpi="300"/>
  <drawing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66"/>
  <sheetViews>
    <sheetView showGridLines="0" zoomScale="53" zoomScaleNormal="53" workbookViewId="0">
      <pane xSplit="1" ySplit="18" topLeftCell="B19" activePane="bottomRight" state="frozen"/>
      <selection pane="topRight" activeCell="B1" sqref="B1"/>
      <selection pane="bottomLeft" activeCell="A19" sqref="A19"/>
      <selection pane="bottomRight" activeCell="O40" sqref="O40"/>
    </sheetView>
  </sheetViews>
  <sheetFormatPr baseColWidth="10" defaultColWidth="8.6640625" defaultRowHeight="14.4" x14ac:dyDescent="0.3"/>
  <cols>
    <col min="1" max="1" width="34" customWidth="1"/>
    <col min="2" max="2" width="22" customWidth="1"/>
    <col min="3" max="3" width="40" customWidth="1"/>
    <col min="4" max="4" width="14" customWidth="1"/>
    <col min="5" max="5" width="52" customWidth="1"/>
    <col min="6" max="6" width="16" customWidth="1"/>
    <col min="7" max="7" width="36" customWidth="1"/>
    <col min="8" max="8" width="16" customWidth="1"/>
    <col min="9" max="9" width="46" customWidth="1"/>
  </cols>
  <sheetData>
    <row r="1" spans="1:9" ht="33.75" customHeight="1" x14ac:dyDescent="0.3">
      <c r="A1" s="45" t="s">
        <v>558</v>
      </c>
      <c r="B1" s="45"/>
      <c r="C1" s="45"/>
      <c r="D1" s="45"/>
      <c r="E1" s="45"/>
      <c r="F1" s="45"/>
      <c r="G1" s="45"/>
      <c r="H1" s="45"/>
      <c r="I1" s="45"/>
    </row>
    <row r="2" spans="1:9" ht="15" customHeight="1" x14ac:dyDescent="0.3">
      <c r="A2" s="46" t="s">
        <v>559</v>
      </c>
      <c r="B2" s="46"/>
      <c r="C2" s="46"/>
      <c r="D2" s="46"/>
      <c r="E2" s="46"/>
      <c r="F2" s="46"/>
      <c r="G2" s="46"/>
      <c r="H2" s="46"/>
      <c r="I2" s="46"/>
    </row>
    <row r="4" spans="1:9" ht="15" customHeight="1" x14ac:dyDescent="0.3">
      <c r="A4" s="47" t="s">
        <v>149</v>
      </c>
      <c r="B4" s="47"/>
      <c r="C4" s="47"/>
      <c r="E4" s="47" t="s">
        <v>68</v>
      </c>
      <c r="F4" s="47"/>
      <c r="G4" s="47"/>
    </row>
    <row r="5" spans="1:9" ht="15" customHeight="1" x14ac:dyDescent="0.3">
      <c r="A5" s="4" t="s">
        <v>150</v>
      </c>
      <c r="B5" s="42" t="s">
        <v>151</v>
      </c>
      <c r="C5" s="42"/>
      <c r="E5" s="22" t="s">
        <v>69</v>
      </c>
      <c r="F5" s="38">
        <f>COUNTIF(A19:A66,"HE?_HU?_CA?_CP???")</f>
        <v>16</v>
      </c>
      <c r="G5" s="38"/>
    </row>
    <row r="6" spans="1:9" ht="15" customHeight="1" x14ac:dyDescent="0.3">
      <c r="A6" s="4" t="s">
        <v>152</v>
      </c>
      <c r="B6" s="42" t="s">
        <v>560</v>
      </c>
      <c r="C6" s="42"/>
      <c r="E6" s="22" t="s">
        <v>154</v>
      </c>
      <c r="F6" s="38">
        <f>COUNTIF(F19:F66,"OK")+COUNTIF(F19:F66,"NOK")</f>
        <v>16</v>
      </c>
      <c r="G6" s="38"/>
    </row>
    <row r="7" spans="1:9" ht="15" customHeight="1" x14ac:dyDescent="0.3">
      <c r="A7" s="4" t="s">
        <v>155</v>
      </c>
      <c r="B7" s="42" t="s">
        <v>561</v>
      </c>
      <c r="C7" s="42"/>
      <c r="E7" s="22" t="s">
        <v>157</v>
      </c>
      <c r="F7" s="38">
        <f>COUNTIF(F19:F66,"OK")</f>
        <v>15</v>
      </c>
      <c r="G7" s="38"/>
    </row>
    <row r="8" spans="1:9" ht="15" customHeight="1" x14ac:dyDescent="0.3">
      <c r="A8" s="4" t="s">
        <v>158</v>
      </c>
      <c r="B8" s="42"/>
      <c r="C8" s="42"/>
      <c r="E8" s="22" t="s">
        <v>159</v>
      </c>
      <c r="F8" s="38">
        <f>COUNTIF(F19:F66,"NOK")</f>
        <v>1</v>
      </c>
      <c r="G8" s="38"/>
    </row>
    <row r="9" spans="1:9" ht="15" customHeight="1" x14ac:dyDescent="0.3">
      <c r="A9" s="4" t="s">
        <v>160</v>
      </c>
      <c r="B9" s="42"/>
      <c r="C9" s="42"/>
      <c r="E9" s="22" t="s">
        <v>132</v>
      </c>
      <c r="F9" s="43">
        <f>IF(F6=0,"Sin ejecutados",F7/F6)</f>
        <v>0.9375</v>
      </c>
      <c r="G9" s="43"/>
    </row>
    <row r="10" spans="1:9" ht="15" customHeight="1" x14ac:dyDescent="0.3">
      <c r="A10" s="4" t="s">
        <v>161</v>
      </c>
      <c r="B10" s="42" t="s">
        <v>162</v>
      </c>
      <c r="C10" s="42"/>
      <c r="E10" s="22" t="s">
        <v>134</v>
      </c>
      <c r="F10" s="43">
        <f>IF(F6=0,"Sin ejecutados",F8/F6)</f>
        <v>6.25E-2</v>
      </c>
      <c r="G10" s="43"/>
    </row>
    <row r="11" spans="1:9" ht="15" customHeight="1" x14ac:dyDescent="0.3">
      <c r="A11" s="44" t="s">
        <v>163</v>
      </c>
      <c r="B11" s="44"/>
      <c r="C11" s="44"/>
      <c r="E11" s="22" t="s">
        <v>164</v>
      </c>
      <c r="F11" s="38">
        <f>F5-F6</f>
        <v>0</v>
      </c>
      <c r="G11" s="38"/>
    </row>
    <row r="12" spans="1:9" ht="15" customHeight="1" x14ac:dyDescent="0.3">
      <c r="A12" s="4" t="s">
        <v>562</v>
      </c>
      <c r="B12" s="37">
        <f>COUNTIF(A19:A66,"*_CA1_*")</f>
        <v>6</v>
      </c>
      <c r="C12" s="37"/>
      <c r="E12" s="22" t="s">
        <v>166</v>
      </c>
      <c r="F12" s="38">
        <f>COUNTIF(D19:D66,"Positivo*")</f>
        <v>3</v>
      </c>
      <c r="G12" s="38"/>
    </row>
    <row r="13" spans="1:9" ht="15" customHeight="1" x14ac:dyDescent="0.3">
      <c r="A13" s="4" t="s">
        <v>563</v>
      </c>
      <c r="B13" s="37">
        <f>COUNTIF(A19:A66,"*_CA2_*")</f>
        <v>8</v>
      </c>
      <c r="C13" s="37"/>
      <c r="E13" s="22" t="s">
        <v>168</v>
      </c>
      <c r="F13" s="38">
        <f>COUNTIF(D19:D66,"Negativo*")</f>
        <v>13</v>
      </c>
      <c r="G13" s="38"/>
    </row>
    <row r="14" spans="1:9" ht="15" customHeight="1" x14ac:dyDescent="0.3">
      <c r="A14" s="4" t="s">
        <v>564</v>
      </c>
      <c r="B14" s="37">
        <f>COUNTIF(A19:A66,"*_CA3_*")</f>
        <v>2</v>
      </c>
      <c r="C14" s="37"/>
      <c r="E14" s="22" t="s">
        <v>170</v>
      </c>
      <c r="F14" s="38">
        <f>COUNTIFS(F19:F66,"NOK",H19:H66,"*Baja")</f>
        <v>0</v>
      </c>
      <c r="G14" s="38"/>
    </row>
    <row r="15" spans="1:9" ht="15" customHeight="1" x14ac:dyDescent="0.3">
      <c r="A15" s="23" t="s">
        <v>171</v>
      </c>
      <c r="B15" s="39">
        <f>COUNTIF(A19:A66,"*_CA4_*")</f>
        <v>0</v>
      </c>
      <c r="C15" s="39"/>
      <c r="E15" s="22" t="s">
        <v>172</v>
      </c>
      <c r="F15" s="38">
        <f>COUNTIFS(F19:F66,"NOK",H19:H66,"*Media")</f>
        <v>1</v>
      </c>
      <c r="G15" s="38"/>
    </row>
    <row r="16" spans="1:9" ht="15" customHeight="1" x14ac:dyDescent="0.3">
      <c r="A16" s="24" t="s">
        <v>173</v>
      </c>
      <c r="B16" s="40">
        <f>SUM(B12:B15)</f>
        <v>16</v>
      </c>
      <c r="C16" s="40"/>
      <c r="E16" s="22" t="s">
        <v>174</v>
      </c>
      <c r="F16" s="38">
        <f>COUNTIFS(F19:F66,"NOK",H19:H66,"*Alta")</f>
        <v>0</v>
      </c>
      <c r="G16" s="38"/>
    </row>
    <row r="17" spans="1:9" ht="15" customHeight="1" x14ac:dyDescent="0.3">
      <c r="A17" s="41" t="s">
        <v>175</v>
      </c>
      <c r="B17" s="41"/>
      <c r="C17" s="41"/>
      <c r="D17" s="41"/>
      <c r="E17" s="41"/>
      <c r="F17" s="41"/>
      <c r="G17" s="41"/>
      <c r="H17" s="41"/>
      <c r="I17" s="41"/>
    </row>
    <row r="18" spans="1:9" ht="33.75" customHeight="1" x14ac:dyDescent="0.3">
      <c r="A18" s="6" t="s">
        <v>16</v>
      </c>
      <c r="B18" s="6" t="s">
        <v>176</v>
      </c>
      <c r="C18" s="6" t="s">
        <v>177</v>
      </c>
      <c r="D18" s="6" t="s">
        <v>20</v>
      </c>
      <c r="E18" s="6" t="s">
        <v>22</v>
      </c>
      <c r="F18" s="6" t="s">
        <v>178</v>
      </c>
      <c r="G18" s="6" t="s">
        <v>179</v>
      </c>
      <c r="H18" s="6" t="s">
        <v>180</v>
      </c>
      <c r="I18" s="6" t="s">
        <v>24</v>
      </c>
    </row>
    <row r="19" spans="1:9" ht="27.75" customHeight="1" x14ac:dyDescent="0.3">
      <c r="A19" s="28" t="s">
        <v>565</v>
      </c>
      <c r="B19" s="25" t="s">
        <v>566</v>
      </c>
      <c r="C19" s="25" t="s">
        <v>567</v>
      </c>
      <c r="D19" s="29" t="s">
        <v>184</v>
      </c>
      <c r="E19" s="30" t="s">
        <v>568</v>
      </c>
      <c r="F19" s="31" t="s">
        <v>85</v>
      </c>
      <c r="G19" s="32" t="s">
        <v>569</v>
      </c>
      <c r="H19" s="31"/>
      <c r="I19" s="30" t="s">
        <v>570</v>
      </c>
    </row>
    <row r="20" spans="1:9" ht="27.75" customHeight="1" x14ac:dyDescent="0.3">
      <c r="A20" s="28"/>
      <c r="B20" s="25" t="s">
        <v>571</v>
      </c>
      <c r="C20" s="25" t="s">
        <v>572</v>
      </c>
      <c r="D20" s="29"/>
      <c r="E20" s="30"/>
      <c r="F20" s="31"/>
      <c r="G20" s="32"/>
      <c r="H20" s="31"/>
      <c r="I20" s="30"/>
    </row>
    <row r="21" spans="1:9" ht="27.75" customHeight="1" x14ac:dyDescent="0.3">
      <c r="A21" s="28"/>
      <c r="B21" s="25" t="s">
        <v>573</v>
      </c>
      <c r="C21" s="25" t="s">
        <v>574</v>
      </c>
      <c r="D21" s="29"/>
      <c r="E21" s="30"/>
      <c r="F21" s="31"/>
      <c r="G21" s="32"/>
      <c r="H21" s="31"/>
      <c r="I21" s="30"/>
    </row>
    <row r="22" spans="1:9" ht="27.75" customHeight="1" x14ac:dyDescent="0.3">
      <c r="A22" s="28"/>
      <c r="B22" s="25" t="s">
        <v>575</v>
      </c>
      <c r="C22" s="25" t="s">
        <v>576</v>
      </c>
      <c r="D22" s="29"/>
      <c r="E22" s="30"/>
      <c r="F22" s="31"/>
      <c r="G22" s="32"/>
      <c r="H22" s="31"/>
      <c r="I22" s="30"/>
    </row>
    <row r="23" spans="1:9" ht="36.75" customHeight="1" x14ac:dyDescent="0.3">
      <c r="A23" s="33" t="s">
        <v>577</v>
      </c>
      <c r="B23" s="26" t="s">
        <v>566</v>
      </c>
      <c r="C23" s="26" t="s">
        <v>578</v>
      </c>
      <c r="D23" s="34" t="s">
        <v>184</v>
      </c>
      <c r="E23" s="35" t="s">
        <v>568</v>
      </c>
      <c r="F23" s="31" t="s">
        <v>85</v>
      </c>
      <c r="G23" s="32" t="s">
        <v>569</v>
      </c>
      <c r="H23" s="31"/>
      <c r="I23" s="35" t="s">
        <v>579</v>
      </c>
    </row>
    <row r="24" spans="1:9" ht="36.75" customHeight="1" x14ac:dyDescent="0.3">
      <c r="A24" s="33"/>
      <c r="B24" s="26" t="s">
        <v>571</v>
      </c>
      <c r="C24" s="26" t="s">
        <v>580</v>
      </c>
      <c r="D24" s="34"/>
      <c r="E24" s="35"/>
      <c r="F24" s="31"/>
      <c r="G24" s="32"/>
      <c r="H24" s="31"/>
      <c r="I24" s="35"/>
    </row>
    <row r="25" spans="1:9" ht="36.75" customHeight="1" x14ac:dyDescent="0.3">
      <c r="A25" s="33"/>
      <c r="B25" s="26" t="s">
        <v>573</v>
      </c>
      <c r="C25" s="26" t="s">
        <v>581</v>
      </c>
      <c r="D25" s="34"/>
      <c r="E25" s="35"/>
      <c r="F25" s="31"/>
      <c r="G25" s="32"/>
      <c r="H25" s="31"/>
      <c r="I25" s="35"/>
    </row>
    <row r="26" spans="1:9" ht="33" customHeight="1" x14ac:dyDescent="0.3">
      <c r="A26" s="28" t="s">
        <v>582</v>
      </c>
      <c r="B26" s="25" t="s">
        <v>566</v>
      </c>
      <c r="C26" s="25" t="s">
        <v>583</v>
      </c>
      <c r="D26" s="29" t="s">
        <v>184</v>
      </c>
      <c r="E26" s="30" t="s">
        <v>568</v>
      </c>
      <c r="F26" s="31" t="s">
        <v>85</v>
      </c>
      <c r="G26" s="32" t="s">
        <v>569</v>
      </c>
      <c r="H26" s="31"/>
      <c r="I26" s="30" t="s">
        <v>584</v>
      </c>
    </row>
    <row r="27" spans="1:9" ht="33" customHeight="1" x14ac:dyDescent="0.3">
      <c r="A27" s="28"/>
      <c r="B27" s="25" t="s">
        <v>571</v>
      </c>
      <c r="C27" s="25" t="s">
        <v>585</v>
      </c>
      <c r="D27" s="29"/>
      <c r="E27" s="30"/>
      <c r="F27" s="31"/>
      <c r="G27" s="32"/>
      <c r="H27" s="31"/>
      <c r="I27" s="30"/>
    </row>
    <row r="28" spans="1:9" ht="45.75" customHeight="1" x14ac:dyDescent="0.3">
      <c r="A28" s="28"/>
      <c r="B28" s="25" t="s">
        <v>573</v>
      </c>
      <c r="C28" s="25" t="s">
        <v>586</v>
      </c>
      <c r="D28" s="29"/>
      <c r="E28" s="30"/>
      <c r="F28" s="31"/>
      <c r="G28" s="32"/>
      <c r="H28" s="31"/>
      <c r="I28" s="30"/>
    </row>
    <row r="29" spans="1:9" ht="33" customHeight="1" x14ac:dyDescent="0.3">
      <c r="A29" s="33" t="s">
        <v>587</v>
      </c>
      <c r="B29" s="26" t="s">
        <v>566</v>
      </c>
      <c r="C29" s="26" t="s">
        <v>224</v>
      </c>
      <c r="D29" s="34" t="s">
        <v>225</v>
      </c>
      <c r="E29" s="35" t="s">
        <v>588</v>
      </c>
      <c r="F29" s="31" t="s">
        <v>85</v>
      </c>
      <c r="G29" s="32" t="s">
        <v>569</v>
      </c>
      <c r="H29" s="31"/>
      <c r="I29" s="35" t="s">
        <v>589</v>
      </c>
    </row>
    <row r="30" spans="1:9" ht="33" customHeight="1" x14ac:dyDescent="0.3">
      <c r="A30" s="33"/>
      <c r="B30" s="26" t="s">
        <v>571</v>
      </c>
      <c r="C30" s="26" t="s">
        <v>590</v>
      </c>
      <c r="D30" s="34"/>
      <c r="E30" s="35"/>
      <c r="F30" s="31"/>
      <c r="G30" s="32"/>
      <c r="H30" s="31"/>
      <c r="I30" s="35"/>
    </row>
    <row r="31" spans="1:9" ht="33" customHeight="1" x14ac:dyDescent="0.3">
      <c r="A31" s="33"/>
      <c r="B31" s="26" t="s">
        <v>573</v>
      </c>
      <c r="C31" s="26" t="s">
        <v>574</v>
      </c>
      <c r="D31" s="34"/>
      <c r="E31" s="35"/>
      <c r="F31" s="31"/>
      <c r="G31" s="32"/>
      <c r="H31" s="31"/>
      <c r="I31" s="35"/>
    </row>
    <row r="32" spans="1:9" ht="33" customHeight="1" x14ac:dyDescent="0.3">
      <c r="A32" s="28" t="s">
        <v>591</v>
      </c>
      <c r="B32" s="25" t="s">
        <v>566</v>
      </c>
      <c r="C32" s="25" t="s">
        <v>567</v>
      </c>
      <c r="D32" s="29" t="s">
        <v>225</v>
      </c>
      <c r="E32" s="30" t="s">
        <v>592</v>
      </c>
      <c r="F32" s="31" t="s">
        <v>85</v>
      </c>
      <c r="G32" s="32" t="s">
        <v>569</v>
      </c>
      <c r="H32" s="31"/>
      <c r="I32" s="30" t="s">
        <v>593</v>
      </c>
    </row>
    <row r="33" spans="1:9" ht="33" customHeight="1" x14ac:dyDescent="0.3">
      <c r="A33" s="28"/>
      <c r="B33" s="25" t="s">
        <v>571</v>
      </c>
      <c r="C33" s="25" t="s">
        <v>224</v>
      </c>
      <c r="D33" s="29"/>
      <c r="E33" s="30"/>
      <c r="F33" s="31"/>
      <c r="G33" s="32"/>
      <c r="H33" s="31"/>
      <c r="I33" s="30"/>
    </row>
    <row r="34" spans="1:9" ht="33" customHeight="1" x14ac:dyDescent="0.3">
      <c r="A34" s="28"/>
      <c r="B34" s="25" t="s">
        <v>573</v>
      </c>
      <c r="C34" s="25" t="s">
        <v>574</v>
      </c>
      <c r="D34" s="29"/>
      <c r="E34" s="30"/>
      <c r="F34" s="31"/>
      <c r="G34" s="32"/>
      <c r="H34" s="31"/>
      <c r="I34" s="30"/>
    </row>
    <row r="35" spans="1:9" ht="33" customHeight="1" x14ac:dyDescent="0.3">
      <c r="A35" s="33" t="s">
        <v>594</v>
      </c>
      <c r="B35" s="26" t="s">
        <v>566</v>
      </c>
      <c r="C35" s="26" t="s">
        <v>224</v>
      </c>
      <c r="D35" s="34" t="s">
        <v>225</v>
      </c>
      <c r="E35" s="35" t="s">
        <v>595</v>
      </c>
      <c r="F35" s="31" t="s">
        <v>85</v>
      </c>
      <c r="G35" s="32" t="s">
        <v>569</v>
      </c>
      <c r="H35" s="31"/>
      <c r="I35" s="35" t="s">
        <v>596</v>
      </c>
    </row>
    <row r="36" spans="1:9" ht="33" customHeight="1" x14ac:dyDescent="0.3">
      <c r="A36" s="33"/>
      <c r="B36" s="26" t="s">
        <v>571</v>
      </c>
      <c r="C36" s="26" t="s">
        <v>224</v>
      </c>
      <c r="D36" s="34"/>
      <c r="E36" s="35"/>
      <c r="F36" s="31"/>
      <c r="G36" s="32"/>
      <c r="H36" s="31"/>
      <c r="I36" s="35"/>
    </row>
    <row r="37" spans="1:9" ht="33" customHeight="1" x14ac:dyDescent="0.3">
      <c r="A37" s="33"/>
      <c r="B37" s="26" t="s">
        <v>573</v>
      </c>
      <c r="C37" s="26" t="s">
        <v>574</v>
      </c>
      <c r="D37" s="34"/>
      <c r="E37" s="35"/>
      <c r="F37" s="31"/>
      <c r="G37" s="32"/>
      <c r="H37" s="31"/>
      <c r="I37" s="35"/>
    </row>
    <row r="38" spans="1:9" ht="36.75" customHeight="1" x14ac:dyDescent="0.3">
      <c r="A38" s="28" t="s">
        <v>597</v>
      </c>
      <c r="B38" s="25" t="s">
        <v>566</v>
      </c>
      <c r="C38" s="25" t="s">
        <v>598</v>
      </c>
      <c r="D38" s="29" t="s">
        <v>225</v>
      </c>
      <c r="E38" s="30" t="s">
        <v>599</v>
      </c>
      <c r="F38" s="31" t="s">
        <v>85</v>
      </c>
      <c r="G38" s="32" t="s">
        <v>569</v>
      </c>
      <c r="H38" s="31"/>
      <c r="I38" s="30" t="s">
        <v>600</v>
      </c>
    </row>
    <row r="39" spans="1:9" ht="36.75" customHeight="1" x14ac:dyDescent="0.3">
      <c r="A39" s="28"/>
      <c r="B39" s="25" t="s">
        <v>571</v>
      </c>
      <c r="C39" s="25" t="s">
        <v>601</v>
      </c>
      <c r="D39" s="29"/>
      <c r="E39" s="30"/>
      <c r="F39" s="31"/>
      <c r="G39" s="32"/>
      <c r="H39" s="31"/>
      <c r="I39" s="30"/>
    </row>
    <row r="40" spans="1:9" ht="36.75" customHeight="1" x14ac:dyDescent="0.3">
      <c r="A40" s="28"/>
      <c r="B40" s="25" t="s">
        <v>573</v>
      </c>
      <c r="C40" s="25" t="s">
        <v>602</v>
      </c>
      <c r="D40" s="29"/>
      <c r="E40" s="30"/>
      <c r="F40" s="31"/>
      <c r="G40" s="32"/>
      <c r="H40" s="31"/>
      <c r="I40" s="30"/>
    </row>
    <row r="41" spans="1:9" ht="36.75" customHeight="1" x14ac:dyDescent="0.3">
      <c r="A41" s="33" t="s">
        <v>603</v>
      </c>
      <c r="B41" s="26" t="s">
        <v>566</v>
      </c>
      <c r="C41" s="26" t="s">
        <v>598</v>
      </c>
      <c r="D41" s="34" t="s">
        <v>225</v>
      </c>
      <c r="E41" s="35" t="s">
        <v>604</v>
      </c>
      <c r="F41" s="31" t="s">
        <v>85</v>
      </c>
      <c r="G41" s="32" t="s">
        <v>569</v>
      </c>
      <c r="H41" s="31"/>
      <c r="I41" s="35" t="s">
        <v>605</v>
      </c>
    </row>
    <row r="42" spans="1:9" ht="36.75" customHeight="1" x14ac:dyDescent="0.3">
      <c r="A42" s="33"/>
      <c r="B42" s="26" t="s">
        <v>571</v>
      </c>
      <c r="C42" s="26" t="s">
        <v>601</v>
      </c>
      <c r="D42" s="34"/>
      <c r="E42" s="35"/>
      <c r="F42" s="31"/>
      <c r="G42" s="32"/>
      <c r="H42" s="31"/>
      <c r="I42" s="35"/>
    </row>
    <row r="43" spans="1:9" ht="36.75" customHeight="1" x14ac:dyDescent="0.3">
      <c r="A43" s="33"/>
      <c r="B43" s="26" t="s">
        <v>573</v>
      </c>
      <c r="C43" s="26" t="s">
        <v>606</v>
      </c>
      <c r="D43" s="34"/>
      <c r="E43" s="35"/>
      <c r="F43" s="31"/>
      <c r="G43" s="32"/>
      <c r="H43" s="31"/>
      <c r="I43" s="35"/>
    </row>
    <row r="44" spans="1:9" ht="69" customHeight="1" x14ac:dyDescent="0.3">
      <c r="A44" s="28" t="s">
        <v>607</v>
      </c>
      <c r="B44" s="25" t="s">
        <v>566</v>
      </c>
      <c r="C44" s="25" t="s">
        <v>608</v>
      </c>
      <c r="D44" s="29" t="s">
        <v>225</v>
      </c>
      <c r="E44" s="30" t="s">
        <v>609</v>
      </c>
      <c r="F44" s="31" t="s">
        <v>85</v>
      </c>
      <c r="G44" s="32" t="s">
        <v>569</v>
      </c>
      <c r="H44" s="31"/>
      <c r="I44" s="30" t="s">
        <v>610</v>
      </c>
    </row>
    <row r="45" spans="1:9" ht="69" customHeight="1" x14ac:dyDescent="0.3">
      <c r="A45" s="28"/>
      <c r="B45" s="25" t="s">
        <v>571</v>
      </c>
      <c r="C45" s="25" t="s">
        <v>611</v>
      </c>
      <c r="D45" s="29"/>
      <c r="E45" s="30"/>
      <c r="F45" s="31"/>
      <c r="G45" s="32"/>
      <c r="H45" s="31"/>
      <c r="I45" s="30"/>
    </row>
    <row r="46" spans="1:9" ht="75" customHeight="1" x14ac:dyDescent="0.3">
      <c r="A46" s="33" t="s">
        <v>612</v>
      </c>
      <c r="B46" s="26" t="s">
        <v>566</v>
      </c>
      <c r="C46" s="26" t="s">
        <v>613</v>
      </c>
      <c r="D46" s="34" t="s">
        <v>225</v>
      </c>
      <c r="E46" s="35" t="s">
        <v>609</v>
      </c>
      <c r="F46" s="31" t="s">
        <v>85</v>
      </c>
      <c r="G46" s="32" t="s">
        <v>569</v>
      </c>
      <c r="H46" s="31"/>
      <c r="I46" s="35" t="s">
        <v>614</v>
      </c>
    </row>
    <row r="47" spans="1:9" ht="75" customHeight="1" x14ac:dyDescent="0.3">
      <c r="A47" s="33"/>
      <c r="B47" s="26" t="s">
        <v>571</v>
      </c>
      <c r="C47" s="26" t="s">
        <v>615</v>
      </c>
      <c r="D47" s="34"/>
      <c r="E47" s="35"/>
      <c r="F47" s="31"/>
      <c r="G47" s="32"/>
      <c r="H47" s="31"/>
      <c r="I47" s="35"/>
    </row>
    <row r="48" spans="1:9" ht="30" customHeight="1" x14ac:dyDescent="0.3">
      <c r="A48" s="36" t="s">
        <v>616</v>
      </c>
      <c r="B48" s="36"/>
      <c r="C48" s="36"/>
      <c r="D48" s="36"/>
      <c r="E48" s="36"/>
      <c r="F48" s="36"/>
      <c r="G48" s="36"/>
      <c r="H48" s="36"/>
      <c r="I48" s="36"/>
    </row>
    <row r="49" spans="1:9" ht="28.5" customHeight="1" x14ac:dyDescent="0.3">
      <c r="A49" s="28" t="s">
        <v>617</v>
      </c>
      <c r="B49" s="25" t="s">
        <v>566</v>
      </c>
      <c r="C49" s="25" t="s">
        <v>618</v>
      </c>
      <c r="D49" s="29" t="s">
        <v>225</v>
      </c>
      <c r="E49" s="30" t="s">
        <v>619</v>
      </c>
      <c r="F49" s="31" t="s">
        <v>86</v>
      </c>
      <c r="G49" s="32" t="s">
        <v>620</v>
      </c>
      <c r="H49" s="31" t="s">
        <v>621</v>
      </c>
      <c r="I49" s="30" t="s">
        <v>622</v>
      </c>
    </row>
    <row r="50" spans="1:9" ht="28.5" customHeight="1" x14ac:dyDescent="0.3">
      <c r="A50" s="28"/>
      <c r="B50" s="25" t="s">
        <v>571</v>
      </c>
      <c r="C50" s="25" t="s">
        <v>623</v>
      </c>
      <c r="D50" s="29"/>
      <c r="E50" s="30"/>
      <c r="F50" s="31"/>
      <c r="G50" s="32"/>
      <c r="H50" s="31"/>
      <c r="I50" s="30"/>
    </row>
    <row r="51" spans="1:9" ht="28.5" customHeight="1" x14ac:dyDescent="0.3">
      <c r="A51" s="28"/>
      <c r="B51" s="25" t="s">
        <v>573</v>
      </c>
      <c r="C51" s="25" t="s">
        <v>624</v>
      </c>
      <c r="D51" s="29"/>
      <c r="E51" s="30"/>
      <c r="F51" s="31"/>
      <c r="G51" s="32"/>
      <c r="H51" s="31"/>
      <c r="I51" s="30"/>
    </row>
    <row r="52" spans="1:9" ht="31.5" customHeight="1" x14ac:dyDescent="0.3">
      <c r="A52" s="33" t="s">
        <v>625</v>
      </c>
      <c r="B52" s="26" t="s">
        <v>287</v>
      </c>
      <c r="C52" s="26" t="s">
        <v>626</v>
      </c>
      <c r="D52" s="34" t="s">
        <v>225</v>
      </c>
      <c r="E52" s="35" t="s">
        <v>627</v>
      </c>
      <c r="F52" s="31" t="s">
        <v>85</v>
      </c>
      <c r="G52" s="32" t="s">
        <v>628</v>
      </c>
      <c r="H52" s="31"/>
      <c r="I52" s="35" t="s">
        <v>629</v>
      </c>
    </row>
    <row r="53" spans="1:9" ht="31.5" customHeight="1" x14ac:dyDescent="0.3">
      <c r="A53" s="33"/>
      <c r="B53" s="26" t="s">
        <v>292</v>
      </c>
      <c r="C53" s="26" t="s">
        <v>293</v>
      </c>
      <c r="D53" s="34"/>
      <c r="E53" s="35"/>
      <c r="F53" s="31"/>
      <c r="G53" s="32"/>
      <c r="H53" s="31"/>
      <c r="I53" s="35"/>
    </row>
    <row r="54" spans="1:9" ht="70.5" customHeight="1" x14ac:dyDescent="0.3">
      <c r="A54" s="33"/>
      <c r="B54" s="26" t="s">
        <v>294</v>
      </c>
      <c r="C54" s="26" t="s">
        <v>630</v>
      </c>
      <c r="D54" s="34"/>
      <c r="E54" s="35"/>
      <c r="F54" s="31"/>
      <c r="G54" s="32"/>
      <c r="H54" s="31"/>
      <c r="I54" s="35"/>
    </row>
    <row r="55" spans="1:9" ht="31.5" customHeight="1" x14ac:dyDescent="0.3">
      <c r="A55" s="28" t="s">
        <v>631</v>
      </c>
      <c r="B55" s="25" t="s">
        <v>287</v>
      </c>
      <c r="C55" s="25" t="s">
        <v>626</v>
      </c>
      <c r="D55" s="29" t="s">
        <v>225</v>
      </c>
      <c r="E55" s="30" t="s">
        <v>632</v>
      </c>
      <c r="F55" s="31" t="s">
        <v>85</v>
      </c>
      <c r="G55" s="32" t="s">
        <v>633</v>
      </c>
      <c r="H55" s="31"/>
      <c r="I55" s="30" t="s">
        <v>634</v>
      </c>
    </row>
    <row r="56" spans="1:9" ht="31.5" customHeight="1" x14ac:dyDescent="0.3">
      <c r="A56" s="28"/>
      <c r="B56" s="25" t="s">
        <v>292</v>
      </c>
      <c r="C56" s="25" t="s">
        <v>424</v>
      </c>
      <c r="D56" s="29"/>
      <c r="E56" s="30"/>
      <c r="F56" s="31"/>
      <c r="G56" s="32"/>
      <c r="H56" s="31"/>
      <c r="I56" s="30"/>
    </row>
    <row r="57" spans="1:9" ht="57.75" customHeight="1" x14ac:dyDescent="0.3">
      <c r="A57" s="28"/>
      <c r="B57" s="25" t="s">
        <v>294</v>
      </c>
      <c r="C57" s="25" t="s">
        <v>635</v>
      </c>
      <c r="D57" s="29"/>
      <c r="E57" s="30"/>
      <c r="F57" s="31"/>
      <c r="G57" s="32"/>
      <c r="H57" s="31"/>
      <c r="I57" s="30"/>
    </row>
    <row r="58" spans="1:9" ht="24" customHeight="1" x14ac:dyDescent="0.3">
      <c r="A58" s="33" t="s">
        <v>636</v>
      </c>
      <c r="B58" s="26" t="s">
        <v>566</v>
      </c>
      <c r="C58" s="26" t="s">
        <v>637</v>
      </c>
      <c r="D58" s="34" t="s">
        <v>225</v>
      </c>
      <c r="E58" s="35" t="s">
        <v>638</v>
      </c>
      <c r="F58" s="31" t="s">
        <v>85</v>
      </c>
      <c r="G58" s="32" t="s">
        <v>639</v>
      </c>
      <c r="H58" s="31"/>
      <c r="I58" s="35" t="s">
        <v>640</v>
      </c>
    </row>
    <row r="59" spans="1:9" ht="24" customHeight="1" x14ac:dyDescent="0.3">
      <c r="A59" s="33"/>
      <c r="B59" s="26" t="s">
        <v>571</v>
      </c>
      <c r="C59" s="26" t="s">
        <v>641</v>
      </c>
      <c r="D59" s="34"/>
      <c r="E59" s="35"/>
      <c r="F59" s="31"/>
      <c r="G59" s="32"/>
      <c r="H59" s="31"/>
      <c r="I59" s="35"/>
    </row>
    <row r="60" spans="1:9" ht="24" customHeight="1" x14ac:dyDescent="0.3">
      <c r="A60" s="33"/>
      <c r="B60" s="26" t="s">
        <v>573</v>
      </c>
      <c r="C60" s="26" t="s">
        <v>642</v>
      </c>
      <c r="D60" s="34"/>
      <c r="E60" s="35"/>
      <c r="F60" s="31"/>
      <c r="G60" s="32"/>
      <c r="H60" s="31"/>
      <c r="I60" s="35"/>
    </row>
    <row r="61" spans="1:9" ht="36.75" customHeight="1" x14ac:dyDescent="0.3">
      <c r="A61" s="28" t="s">
        <v>643</v>
      </c>
      <c r="B61" s="25" t="s">
        <v>287</v>
      </c>
      <c r="C61" s="25" t="s">
        <v>626</v>
      </c>
      <c r="D61" s="29" t="s">
        <v>225</v>
      </c>
      <c r="E61" s="30" t="s">
        <v>644</v>
      </c>
      <c r="F61" s="31" t="s">
        <v>85</v>
      </c>
      <c r="G61" s="32" t="s">
        <v>645</v>
      </c>
      <c r="H61" s="31"/>
      <c r="I61" s="30" t="s">
        <v>646</v>
      </c>
    </row>
    <row r="62" spans="1:9" ht="36.75" customHeight="1" x14ac:dyDescent="0.3">
      <c r="A62" s="28"/>
      <c r="B62" s="25" t="s">
        <v>292</v>
      </c>
      <c r="C62" s="25" t="s">
        <v>293</v>
      </c>
      <c r="D62" s="29"/>
      <c r="E62" s="30"/>
      <c r="F62" s="31"/>
      <c r="G62" s="32"/>
      <c r="H62" s="31"/>
      <c r="I62" s="30"/>
    </row>
    <row r="63" spans="1:9" ht="63" customHeight="1" x14ac:dyDescent="0.3">
      <c r="A63" s="28"/>
      <c r="B63" s="25" t="s">
        <v>294</v>
      </c>
      <c r="C63" s="25" t="s">
        <v>647</v>
      </c>
      <c r="D63" s="29"/>
      <c r="E63" s="30"/>
      <c r="F63" s="31"/>
      <c r="G63" s="32"/>
      <c r="H63" s="31"/>
      <c r="I63" s="30"/>
    </row>
    <row r="64" spans="1:9" ht="19.5" customHeight="1" x14ac:dyDescent="0.3">
      <c r="A64" s="33" t="s">
        <v>648</v>
      </c>
      <c r="B64" s="26" t="s">
        <v>566</v>
      </c>
      <c r="C64" s="26" t="s">
        <v>649</v>
      </c>
      <c r="D64" s="34" t="s">
        <v>225</v>
      </c>
      <c r="E64" s="35" t="s">
        <v>650</v>
      </c>
      <c r="F64" s="31" t="s">
        <v>85</v>
      </c>
      <c r="G64" s="32" t="s">
        <v>651</v>
      </c>
      <c r="H64" s="31"/>
      <c r="I64" s="35" t="s">
        <v>652</v>
      </c>
    </row>
    <row r="65" spans="1:9" ht="19.5" customHeight="1" x14ac:dyDescent="0.3">
      <c r="A65" s="33"/>
      <c r="B65" s="26" t="s">
        <v>571</v>
      </c>
      <c r="C65" s="26" t="s">
        <v>653</v>
      </c>
      <c r="D65" s="34"/>
      <c r="E65" s="35"/>
      <c r="F65" s="31"/>
      <c r="G65" s="32"/>
      <c r="H65" s="31"/>
      <c r="I65" s="35"/>
    </row>
    <row r="66" spans="1:9" ht="19.5" customHeight="1" x14ac:dyDescent="0.3">
      <c r="A66" s="33"/>
      <c r="B66" s="26" t="s">
        <v>573</v>
      </c>
      <c r="C66" s="26" t="s">
        <v>654</v>
      </c>
      <c r="D66" s="34"/>
      <c r="E66" s="35"/>
      <c r="F66" s="31"/>
      <c r="G66" s="32"/>
      <c r="H66" s="31"/>
      <c r="I66" s="35"/>
    </row>
  </sheetData>
  <mergeCells count="142">
    <mergeCell ref="A1:I1"/>
    <mergeCell ref="A2:I2"/>
    <mergeCell ref="A4:C4"/>
    <mergeCell ref="E4:G4"/>
    <mergeCell ref="B5:C5"/>
    <mergeCell ref="F5:G5"/>
    <mergeCell ref="B6:C6"/>
    <mergeCell ref="F6:G6"/>
    <mergeCell ref="B7:C7"/>
    <mergeCell ref="F7:G7"/>
    <mergeCell ref="B8:C8"/>
    <mergeCell ref="F8:G8"/>
    <mergeCell ref="B9:C9"/>
    <mergeCell ref="F9:G9"/>
    <mergeCell ref="B10:C10"/>
    <mergeCell ref="F10:G10"/>
    <mergeCell ref="A11:C11"/>
    <mergeCell ref="F11:G11"/>
    <mergeCell ref="B12:C12"/>
    <mergeCell ref="F12:G12"/>
    <mergeCell ref="B13:C13"/>
    <mergeCell ref="F13:G13"/>
    <mergeCell ref="B14:C14"/>
    <mergeCell ref="F14:G14"/>
    <mergeCell ref="B15:C15"/>
    <mergeCell ref="F15:G15"/>
    <mergeCell ref="B16:C16"/>
    <mergeCell ref="F16:G16"/>
    <mergeCell ref="A17:I17"/>
    <mergeCell ref="A19:A22"/>
    <mergeCell ref="D19:D22"/>
    <mergeCell ref="E19:E22"/>
    <mergeCell ref="F19:F22"/>
    <mergeCell ref="G19:G22"/>
    <mergeCell ref="H19:H22"/>
    <mergeCell ref="I19:I22"/>
    <mergeCell ref="A23:A25"/>
    <mergeCell ref="D23:D25"/>
    <mergeCell ref="E23:E25"/>
    <mergeCell ref="F23:F25"/>
    <mergeCell ref="G23:G25"/>
    <mergeCell ref="H23:H25"/>
    <mergeCell ref="I23:I25"/>
    <mergeCell ref="A26:A28"/>
    <mergeCell ref="D26:D28"/>
    <mergeCell ref="E26:E28"/>
    <mergeCell ref="F26:F28"/>
    <mergeCell ref="G26:G28"/>
    <mergeCell ref="H26:H28"/>
    <mergeCell ref="I26:I28"/>
    <mergeCell ref="A29:A31"/>
    <mergeCell ref="D29:D31"/>
    <mergeCell ref="E29:E31"/>
    <mergeCell ref="F29:F31"/>
    <mergeCell ref="G29:G31"/>
    <mergeCell ref="H29:H31"/>
    <mergeCell ref="I29:I31"/>
    <mergeCell ref="A32:A34"/>
    <mergeCell ref="D32:D34"/>
    <mergeCell ref="E32:E34"/>
    <mergeCell ref="F32:F34"/>
    <mergeCell ref="G32:G34"/>
    <mergeCell ref="H32:H34"/>
    <mergeCell ref="I32:I34"/>
    <mergeCell ref="A35:A37"/>
    <mergeCell ref="D35:D37"/>
    <mergeCell ref="E35:E37"/>
    <mergeCell ref="F35:F37"/>
    <mergeCell ref="G35:G37"/>
    <mergeCell ref="H35:H37"/>
    <mergeCell ref="I35:I37"/>
    <mergeCell ref="A38:A40"/>
    <mergeCell ref="D38:D40"/>
    <mergeCell ref="E38:E40"/>
    <mergeCell ref="F38:F40"/>
    <mergeCell ref="G38:G40"/>
    <mergeCell ref="H38:H40"/>
    <mergeCell ref="I38:I40"/>
    <mergeCell ref="A41:A43"/>
    <mergeCell ref="D41:D43"/>
    <mergeCell ref="E41:E43"/>
    <mergeCell ref="F41:F43"/>
    <mergeCell ref="G41:G43"/>
    <mergeCell ref="H41:H43"/>
    <mergeCell ref="I41:I43"/>
    <mergeCell ref="A44:A45"/>
    <mergeCell ref="D44:D45"/>
    <mergeCell ref="E44:E45"/>
    <mergeCell ref="F44:F45"/>
    <mergeCell ref="G44:G45"/>
    <mergeCell ref="H44:H45"/>
    <mergeCell ref="I44:I45"/>
    <mergeCell ref="A46:A47"/>
    <mergeCell ref="D46:D47"/>
    <mergeCell ref="E46:E47"/>
    <mergeCell ref="F46:F47"/>
    <mergeCell ref="G46:G47"/>
    <mergeCell ref="H46:H47"/>
    <mergeCell ref="I46:I47"/>
    <mergeCell ref="A48:I48"/>
    <mergeCell ref="A49:A51"/>
    <mergeCell ref="D49:D51"/>
    <mergeCell ref="E49:E51"/>
    <mergeCell ref="F49:F51"/>
    <mergeCell ref="G49:G51"/>
    <mergeCell ref="H49:H51"/>
    <mergeCell ref="I49:I51"/>
    <mergeCell ref="A52:A54"/>
    <mergeCell ref="D52:D54"/>
    <mergeCell ref="E52:E54"/>
    <mergeCell ref="F52:F54"/>
    <mergeCell ref="G52:G54"/>
    <mergeCell ref="H52:H54"/>
    <mergeCell ref="I52:I54"/>
    <mergeCell ref="A55:A57"/>
    <mergeCell ref="D55:D57"/>
    <mergeCell ref="E55:E57"/>
    <mergeCell ref="F55:F57"/>
    <mergeCell ref="G55:G57"/>
    <mergeCell ref="H55:H57"/>
    <mergeCell ref="I55:I57"/>
    <mergeCell ref="A58:A60"/>
    <mergeCell ref="D58:D60"/>
    <mergeCell ref="E58:E60"/>
    <mergeCell ref="F58:F60"/>
    <mergeCell ref="G58:G60"/>
    <mergeCell ref="H58:H60"/>
    <mergeCell ref="I58:I60"/>
    <mergeCell ref="A61:A63"/>
    <mergeCell ref="D61:D63"/>
    <mergeCell ref="E61:E63"/>
    <mergeCell ref="F61:F63"/>
    <mergeCell ref="G61:G63"/>
    <mergeCell ref="H61:H63"/>
    <mergeCell ref="I61:I63"/>
    <mergeCell ref="A64:A66"/>
    <mergeCell ref="D64:D66"/>
    <mergeCell ref="E64:E66"/>
    <mergeCell ref="F64:F66"/>
    <mergeCell ref="G64:G66"/>
    <mergeCell ref="H64:H66"/>
    <mergeCell ref="I64:I66"/>
  </mergeCells>
  <conditionalFormatting sqref="F19:F66">
    <cfRule type="cellIs" dxfId="9" priority="2" operator="equal">
      <formula>"OK"</formula>
    </cfRule>
    <cfRule type="cellIs" dxfId="8" priority="3" operator="equal">
      <formula>"NOK"</formula>
    </cfRule>
  </conditionalFormatting>
  <dataValidations count="4">
    <dataValidation type="list" allowBlank="1" sqref="B10" xr:uid="{00000000-0002-0000-0700-000000000000}">
      <formula1>"Unitaria,Integración,Funcional,Aceptación,Regresión,No funcional"</formula1>
      <formula2>0</formula2>
    </dataValidation>
    <dataValidation type="list" allowBlank="1" sqref="D19:D66" xr:uid="{00000000-0002-0000-0700-000001000000}">
      <formula1>"Positivo (+),Negativo (-)"</formula1>
      <formula2>0</formula2>
    </dataValidation>
    <dataValidation type="list" allowBlank="1" sqref="F19:F66" xr:uid="{00000000-0002-0000-0700-000002000000}">
      <formula1>"OK,NOK"</formula1>
      <formula2>0</formula2>
    </dataValidation>
    <dataValidation type="list" allowBlank="1" sqref="H19:H66" xr:uid="{00000000-0002-0000-0700-000003000000}">
      <formula1>"Baja,Media,Alta"</formula1>
      <formula2>0</formula2>
    </dataValidation>
  </dataValidations>
  <hyperlinks>
    <hyperlink ref="G19" r:id="rId1" xr:uid="{00000000-0004-0000-0700-000000000000}"/>
    <hyperlink ref="G23" r:id="rId2" xr:uid="{00000000-0004-0000-0700-000001000000}"/>
    <hyperlink ref="G26" r:id="rId3" xr:uid="{00000000-0004-0000-0700-000002000000}"/>
    <hyperlink ref="G29" r:id="rId4" xr:uid="{00000000-0004-0000-0700-000003000000}"/>
    <hyperlink ref="G32" r:id="rId5" xr:uid="{00000000-0004-0000-0700-000004000000}"/>
    <hyperlink ref="G35" r:id="rId6" xr:uid="{00000000-0004-0000-0700-000005000000}"/>
    <hyperlink ref="G38" r:id="rId7" xr:uid="{00000000-0004-0000-0700-000006000000}"/>
    <hyperlink ref="G41" r:id="rId8" xr:uid="{00000000-0004-0000-0700-000007000000}"/>
    <hyperlink ref="G44" r:id="rId9" xr:uid="{00000000-0004-0000-0700-000008000000}"/>
    <hyperlink ref="G46" r:id="rId10" xr:uid="{00000000-0004-0000-0700-000009000000}"/>
    <hyperlink ref="G49" r:id="rId11" xr:uid="{00000000-0004-0000-0700-00000A000000}"/>
    <hyperlink ref="G52" r:id="rId12" xr:uid="{00000000-0004-0000-0700-00000B000000}"/>
    <hyperlink ref="G55" r:id="rId13" xr:uid="{00000000-0004-0000-0700-00000C000000}"/>
    <hyperlink ref="G58" r:id="rId14" xr:uid="{00000000-0004-0000-0700-00000D000000}"/>
    <hyperlink ref="G61" r:id="rId15" xr:uid="{00000000-0004-0000-0700-00000E000000}"/>
    <hyperlink ref="G64" r:id="rId16" xr:uid="{00000000-0004-0000-0700-00000F000000}"/>
  </hyperlinks>
  <pageMargins left="0.75" right="0.75" top="1" bottom="1" header="0.511811023622047" footer="0.511811023622047"/>
  <pageSetup fitToHeight="0" orientation="landscape" horizontalDpi="300" verticalDpi="300"/>
  <drawing r:id="rId1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60"/>
  <sheetViews>
    <sheetView showGridLines="0" zoomScale="57" zoomScaleNormal="57" workbookViewId="0">
      <pane xSplit="1" ySplit="18" topLeftCell="B19" activePane="bottomRight" state="frozen"/>
      <selection pane="topRight" activeCell="B1" sqref="B1"/>
      <selection pane="bottomLeft" activeCell="A19" sqref="A19"/>
      <selection pane="bottomRight" activeCell="G19" sqref="G19"/>
    </sheetView>
  </sheetViews>
  <sheetFormatPr baseColWidth="10" defaultColWidth="8.6640625" defaultRowHeight="14.4" x14ac:dyDescent="0.3"/>
  <cols>
    <col min="1" max="1" width="34" customWidth="1"/>
    <col min="2" max="2" width="22" customWidth="1"/>
    <col min="3" max="3" width="40" customWidth="1"/>
    <col min="4" max="4" width="14" customWidth="1"/>
    <col min="5" max="5" width="52" customWidth="1"/>
    <col min="6" max="6" width="16" customWidth="1"/>
    <col min="7" max="7" width="36" customWidth="1"/>
    <col min="8" max="8" width="16" customWidth="1"/>
    <col min="9" max="9" width="46" customWidth="1"/>
  </cols>
  <sheetData>
    <row r="1" spans="1:9" ht="33.75" customHeight="1" x14ac:dyDescent="0.3">
      <c r="A1" s="45" t="s">
        <v>655</v>
      </c>
      <c r="B1" s="45"/>
      <c r="C1" s="45"/>
      <c r="D1" s="45"/>
      <c r="E1" s="45"/>
      <c r="F1" s="45"/>
      <c r="G1" s="45"/>
      <c r="H1" s="45"/>
      <c r="I1" s="45"/>
    </row>
    <row r="2" spans="1:9" ht="15" customHeight="1" x14ac:dyDescent="0.3">
      <c r="A2" s="46" t="s">
        <v>559</v>
      </c>
      <c r="B2" s="46"/>
      <c r="C2" s="46"/>
      <c r="D2" s="46"/>
      <c r="E2" s="46"/>
      <c r="F2" s="46"/>
      <c r="G2" s="46"/>
      <c r="H2" s="46"/>
      <c r="I2" s="46"/>
    </row>
    <row r="4" spans="1:9" ht="15" customHeight="1" x14ac:dyDescent="0.3">
      <c r="A4" s="47" t="s">
        <v>149</v>
      </c>
      <c r="B4" s="47"/>
      <c r="C4" s="47"/>
      <c r="E4" s="47" t="s">
        <v>68</v>
      </c>
      <c r="F4" s="47"/>
      <c r="G4" s="47"/>
    </row>
    <row r="5" spans="1:9" ht="15" customHeight="1" x14ac:dyDescent="0.3">
      <c r="A5" s="4" t="s">
        <v>150</v>
      </c>
      <c r="B5" s="42" t="s">
        <v>151</v>
      </c>
      <c r="C5" s="42"/>
      <c r="E5" s="22" t="s">
        <v>69</v>
      </c>
      <c r="F5" s="38">
        <f>COUNTIF(A19:A60,"HE?_HU?_CA?_CP???")</f>
        <v>13</v>
      </c>
      <c r="G5" s="38"/>
    </row>
    <row r="6" spans="1:9" ht="15" customHeight="1" x14ac:dyDescent="0.3">
      <c r="A6" s="4" t="s">
        <v>152</v>
      </c>
      <c r="B6" s="42" t="s">
        <v>656</v>
      </c>
      <c r="C6" s="42"/>
      <c r="E6" s="22" t="s">
        <v>154</v>
      </c>
      <c r="F6" s="38">
        <f>COUNTIF(F19:F60,"OK")+COUNTIF(F19:F60,"NOK")</f>
        <v>13</v>
      </c>
      <c r="G6" s="38"/>
    </row>
    <row r="7" spans="1:9" ht="15" customHeight="1" x14ac:dyDescent="0.3">
      <c r="A7" s="4" t="s">
        <v>155</v>
      </c>
      <c r="B7" s="42" t="s">
        <v>561</v>
      </c>
      <c r="C7" s="42"/>
      <c r="E7" s="22" t="s">
        <v>157</v>
      </c>
      <c r="F7" s="38">
        <f>COUNTIF(F19:F60,"OK")</f>
        <v>9</v>
      </c>
      <c r="G7" s="38"/>
    </row>
    <row r="8" spans="1:9" ht="15" customHeight="1" x14ac:dyDescent="0.3">
      <c r="A8" s="4" t="s">
        <v>158</v>
      </c>
      <c r="B8" s="42"/>
      <c r="C8" s="42"/>
      <c r="E8" s="22" t="s">
        <v>159</v>
      </c>
      <c r="F8" s="38">
        <f>COUNTIF(F19:F60,"NOK")</f>
        <v>4</v>
      </c>
      <c r="G8" s="38"/>
    </row>
    <row r="9" spans="1:9" ht="15" customHeight="1" x14ac:dyDescent="0.3">
      <c r="A9" s="4" t="s">
        <v>160</v>
      </c>
      <c r="B9" s="42"/>
      <c r="C9" s="42"/>
      <c r="E9" s="22" t="s">
        <v>132</v>
      </c>
      <c r="F9" s="43">
        <f>IF(F6=0,"Sin ejecutados",F7/F6)</f>
        <v>0.69230769230769229</v>
      </c>
      <c r="G9" s="43"/>
    </row>
    <row r="10" spans="1:9" ht="15" customHeight="1" x14ac:dyDescent="0.3">
      <c r="A10" s="4" t="s">
        <v>161</v>
      </c>
      <c r="B10" s="42" t="s">
        <v>162</v>
      </c>
      <c r="C10" s="42"/>
      <c r="E10" s="22" t="s">
        <v>134</v>
      </c>
      <c r="F10" s="43">
        <f>IF(F6=0,"Sin ejecutados",F8/F6)</f>
        <v>0.30769230769230771</v>
      </c>
      <c r="G10" s="43"/>
    </row>
    <row r="11" spans="1:9" ht="15" customHeight="1" x14ac:dyDescent="0.3">
      <c r="A11" s="44" t="s">
        <v>163</v>
      </c>
      <c r="B11" s="44"/>
      <c r="C11" s="44"/>
      <c r="E11" s="22" t="s">
        <v>164</v>
      </c>
      <c r="F11" s="38">
        <f>F5-F6</f>
        <v>0</v>
      </c>
      <c r="G11" s="38"/>
    </row>
    <row r="12" spans="1:9" ht="15" customHeight="1" x14ac:dyDescent="0.3">
      <c r="A12" s="4" t="s">
        <v>657</v>
      </c>
      <c r="B12" s="37">
        <f>COUNTIF(A19:A60,"*_CA1_*")</f>
        <v>5</v>
      </c>
      <c r="C12" s="37"/>
      <c r="E12" s="22" t="s">
        <v>166</v>
      </c>
      <c r="F12" s="38">
        <f>COUNTIF(D19:D60,"Positivo*")</f>
        <v>3</v>
      </c>
      <c r="G12" s="38"/>
    </row>
    <row r="13" spans="1:9" ht="15" customHeight="1" x14ac:dyDescent="0.3">
      <c r="A13" s="4" t="s">
        <v>658</v>
      </c>
      <c r="B13" s="37">
        <f>COUNTIF(A19:A60,"*_CA2_*")</f>
        <v>1</v>
      </c>
      <c r="C13" s="37"/>
      <c r="E13" s="22" t="s">
        <v>168</v>
      </c>
      <c r="F13" s="38">
        <f>COUNTIF(D19:D60,"Negativo*")</f>
        <v>10</v>
      </c>
      <c r="G13" s="38"/>
    </row>
    <row r="14" spans="1:9" ht="15" customHeight="1" x14ac:dyDescent="0.3">
      <c r="A14" s="4" t="s">
        <v>659</v>
      </c>
      <c r="B14" s="37">
        <f>COUNTIF(A19:A60,"*_CA3_*")</f>
        <v>3</v>
      </c>
      <c r="C14" s="37"/>
      <c r="E14" s="22" t="s">
        <v>170</v>
      </c>
      <c r="F14" s="38">
        <f>COUNTIFS(F19:F60,"NOK",H19:H60,"*Baja")</f>
        <v>3</v>
      </c>
      <c r="G14" s="38"/>
    </row>
    <row r="15" spans="1:9" ht="15" customHeight="1" x14ac:dyDescent="0.3">
      <c r="A15" s="23" t="s">
        <v>660</v>
      </c>
      <c r="B15" s="39">
        <f>COUNTIF(A19:A60,"*_CA4_*")</f>
        <v>4</v>
      </c>
      <c r="C15" s="39"/>
      <c r="E15" s="22" t="s">
        <v>172</v>
      </c>
      <c r="F15" s="38">
        <f>COUNTIFS(F19:F60,"NOK",H19:H60,"*Media")</f>
        <v>1</v>
      </c>
      <c r="G15" s="38"/>
    </row>
    <row r="16" spans="1:9" ht="15" customHeight="1" x14ac:dyDescent="0.3">
      <c r="A16" s="24" t="s">
        <v>173</v>
      </c>
      <c r="B16" s="40">
        <f>SUM(B12:B15)</f>
        <v>13</v>
      </c>
      <c r="C16" s="40"/>
      <c r="E16" s="22" t="s">
        <v>174</v>
      </c>
      <c r="F16" s="38">
        <f>COUNTIFS(F19:F60,"NOK",H19:H60,"*Alta")</f>
        <v>0</v>
      </c>
      <c r="G16" s="38"/>
    </row>
    <row r="17" spans="1:9" ht="15" customHeight="1" x14ac:dyDescent="0.3">
      <c r="A17" s="41" t="s">
        <v>175</v>
      </c>
      <c r="B17" s="41"/>
      <c r="C17" s="41"/>
      <c r="D17" s="41"/>
      <c r="E17" s="41"/>
      <c r="F17" s="41"/>
      <c r="G17" s="41"/>
      <c r="H17" s="41"/>
      <c r="I17" s="41"/>
    </row>
    <row r="18" spans="1:9" ht="33.75" customHeight="1" x14ac:dyDescent="0.3">
      <c r="A18" s="6" t="s">
        <v>16</v>
      </c>
      <c r="B18" s="6" t="s">
        <v>176</v>
      </c>
      <c r="C18" s="6" t="s">
        <v>177</v>
      </c>
      <c r="D18" s="6" t="s">
        <v>20</v>
      </c>
      <c r="E18" s="6" t="s">
        <v>22</v>
      </c>
      <c r="F18" s="6" t="s">
        <v>178</v>
      </c>
      <c r="G18" s="6" t="s">
        <v>179</v>
      </c>
      <c r="H18" s="6" t="s">
        <v>180</v>
      </c>
      <c r="I18" s="6" t="s">
        <v>24</v>
      </c>
    </row>
    <row r="19" spans="1:9" ht="33" customHeight="1" x14ac:dyDescent="0.3">
      <c r="A19" s="28" t="s">
        <v>661</v>
      </c>
      <c r="B19" s="25" t="s">
        <v>404</v>
      </c>
      <c r="C19" s="25" t="s">
        <v>662</v>
      </c>
      <c r="D19" s="29" t="s">
        <v>184</v>
      </c>
      <c r="E19" s="30" t="s">
        <v>663</v>
      </c>
      <c r="F19" s="31" t="s">
        <v>85</v>
      </c>
      <c r="G19" s="32" t="s">
        <v>664</v>
      </c>
      <c r="H19" s="31"/>
      <c r="I19" s="30" t="s">
        <v>665</v>
      </c>
    </row>
    <row r="20" spans="1:9" ht="33" customHeight="1" x14ac:dyDescent="0.3">
      <c r="A20" s="28"/>
      <c r="B20" s="25" t="s">
        <v>666</v>
      </c>
      <c r="C20" s="25" t="s">
        <v>567</v>
      </c>
      <c r="D20" s="29"/>
      <c r="E20" s="30"/>
      <c r="F20" s="31"/>
      <c r="G20" s="32"/>
      <c r="H20" s="31"/>
      <c r="I20" s="30"/>
    </row>
    <row r="21" spans="1:9" ht="33" customHeight="1" x14ac:dyDescent="0.3">
      <c r="A21" s="28"/>
      <c r="B21" s="25" t="s">
        <v>435</v>
      </c>
      <c r="C21" s="25" t="s">
        <v>667</v>
      </c>
      <c r="D21" s="29"/>
      <c r="E21" s="30"/>
      <c r="F21" s="31"/>
      <c r="G21" s="32"/>
      <c r="H21" s="31"/>
      <c r="I21" s="30"/>
    </row>
    <row r="22" spans="1:9" ht="36.75" customHeight="1" x14ac:dyDescent="0.3">
      <c r="A22" s="33" t="s">
        <v>668</v>
      </c>
      <c r="B22" s="26" t="s">
        <v>404</v>
      </c>
      <c r="C22" s="26" t="s">
        <v>183</v>
      </c>
      <c r="D22" s="34" t="s">
        <v>184</v>
      </c>
      <c r="E22" s="35" t="s">
        <v>669</v>
      </c>
      <c r="F22" s="31" t="s">
        <v>85</v>
      </c>
      <c r="G22" s="32" t="s">
        <v>664</v>
      </c>
      <c r="H22" s="31"/>
      <c r="I22" s="35" t="s">
        <v>670</v>
      </c>
    </row>
    <row r="23" spans="1:9" ht="36.75" customHeight="1" x14ac:dyDescent="0.3">
      <c r="A23" s="33"/>
      <c r="B23" s="26" t="s">
        <v>666</v>
      </c>
      <c r="C23" s="26" t="s">
        <v>578</v>
      </c>
      <c r="D23" s="34"/>
      <c r="E23" s="35"/>
      <c r="F23" s="31"/>
      <c r="G23" s="32"/>
      <c r="H23" s="31"/>
      <c r="I23" s="35"/>
    </row>
    <row r="24" spans="1:9" ht="36.75" customHeight="1" x14ac:dyDescent="0.3">
      <c r="A24" s="33"/>
      <c r="B24" s="26" t="s">
        <v>435</v>
      </c>
      <c r="C24" s="26" t="s">
        <v>667</v>
      </c>
      <c r="D24" s="34"/>
      <c r="E24" s="35"/>
      <c r="F24" s="31"/>
      <c r="G24" s="32"/>
      <c r="H24" s="31"/>
      <c r="I24" s="35"/>
    </row>
    <row r="25" spans="1:9" ht="58.5" customHeight="1" x14ac:dyDescent="0.3">
      <c r="A25" s="28" t="s">
        <v>671</v>
      </c>
      <c r="B25" s="25" t="s">
        <v>404</v>
      </c>
      <c r="C25" s="25" t="s">
        <v>662</v>
      </c>
      <c r="D25" s="29" t="s">
        <v>184</v>
      </c>
      <c r="E25" s="30" t="s">
        <v>672</v>
      </c>
      <c r="F25" s="31" t="s">
        <v>85</v>
      </c>
      <c r="G25" s="32" t="s">
        <v>664</v>
      </c>
      <c r="H25" s="31"/>
      <c r="I25" s="30" t="s">
        <v>673</v>
      </c>
    </row>
    <row r="26" spans="1:9" ht="58.5" customHeight="1" x14ac:dyDescent="0.3">
      <c r="A26" s="28"/>
      <c r="B26" s="25" t="s">
        <v>666</v>
      </c>
      <c r="C26" s="25" t="s">
        <v>578</v>
      </c>
      <c r="D26" s="29"/>
      <c r="E26" s="30"/>
      <c r="F26" s="31"/>
      <c r="G26" s="32"/>
      <c r="H26" s="31"/>
      <c r="I26" s="30"/>
    </row>
    <row r="27" spans="1:9" ht="58.5" customHeight="1" x14ac:dyDescent="0.3">
      <c r="A27" s="28"/>
      <c r="B27" s="25" t="s">
        <v>435</v>
      </c>
      <c r="C27" s="25" t="s">
        <v>667</v>
      </c>
      <c r="D27" s="29"/>
      <c r="E27" s="30"/>
      <c r="F27" s="31"/>
      <c r="G27" s="32"/>
      <c r="H27" s="31"/>
      <c r="I27" s="30"/>
    </row>
    <row r="28" spans="1:9" ht="36.75" customHeight="1" x14ac:dyDescent="0.3">
      <c r="A28" s="33" t="s">
        <v>674</v>
      </c>
      <c r="B28" s="26" t="s">
        <v>404</v>
      </c>
      <c r="C28" s="26" t="s">
        <v>675</v>
      </c>
      <c r="D28" s="34" t="s">
        <v>225</v>
      </c>
      <c r="E28" s="35" t="s">
        <v>676</v>
      </c>
      <c r="F28" s="31" t="s">
        <v>85</v>
      </c>
      <c r="G28" s="32" t="s">
        <v>664</v>
      </c>
      <c r="H28" s="31"/>
      <c r="I28" s="35" t="s">
        <v>677</v>
      </c>
    </row>
    <row r="29" spans="1:9" ht="36.75" customHeight="1" x14ac:dyDescent="0.3">
      <c r="A29" s="33"/>
      <c r="B29" s="26" t="s">
        <v>666</v>
      </c>
      <c r="C29" s="26" t="s">
        <v>567</v>
      </c>
      <c r="D29" s="34"/>
      <c r="E29" s="35"/>
      <c r="F29" s="31"/>
      <c r="G29" s="32"/>
      <c r="H29" s="31"/>
      <c r="I29" s="35"/>
    </row>
    <row r="30" spans="1:9" ht="36.75" customHeight="1" x14ac:dyDescent="0.3">
      <c r="A30" s="33"/>
      <c r="B30" s="26" t="s">
        <v>435</v>
      </c>
      <c r="C30" s="26" t="s">
        <v>667</v>
      </c>
      <c r="D30" s="34"/>
      <c r="E30" s="35"/>
      <c r="F30" s="31"/>
      <c r="G30" s="32"/>
      <c r="H30" s="31"/>
      <c r="I30" s="35"/>
    </row>
    <row r="31" spans="1:9" ht="41.25" customHeight="1" x14ac:dyDescent="0.3">
      <c r="A31" s="28" t="s">
        <v>678</v>
      </c>
      <c r="B31" s="25" t="s">
        <v>404</v>
      </c>
      <c r="C31" s="25" t="s">
        <v>679</v>
      </c>
      <c r="D31" s="29" t="s">
        <v>225</v>
      </c>
      <c r="E31" s="30" t="s">
        <v>680</v>
      </c>
      <c r="F31" s="31" t="s">
        <v>85</v>
      </c>
      <c r="G31" s="32" t="s">
        <v>664</v>
      </c>
      <c r="H31" s="31"/>
      <c r="I31" s="30" t="s">
        <v>681</v>
      </c>
    </row>
    <row r="32" spans="1:9" ht="41.25" customHeight="1" x14ac:dyDescent="0.3">
      <c r="A32" s="28"/>
      <c r="B32" s="25" t="s">
        <v>666</v>
      </c>
      <c r="C32" s="25" t="s">
        <v>567</v>
      </c>
      <c r="D32" s="29"/>
      <c r="E32" s="30"/>
      <c r="F32" s="31"/>
      <c r="G32" s="32"/>
      <c r="H32" s="31"/>
      <c r="I32" s="30"/>
    </row>
    <row r="33" spans="1:9" ht="41.25" customHeight="1" x14ac:dyDescent="0.3">
      <c r="A33" s="28"/>
      <c r="B33" s="25" t="s">
        <v>435</v>
      </c>
      <c r="C33" s="25" t="s">
        <v>667</v>
      </c>
      <c r="D33" s="29"/>
      <c r="E33" s="30"/>
      <c r="F33" s="31"/>
      <c r="G33" s="32"/>
      <c r="H33" s="31"/>
      <c r="I33" s="30"/>
    </row>
    <row r="34" spans="1:9" ht="36.75" customHeight="1" x14ac:dyDescent="0.3">
      <c r="A34" s="33" t="s">
        <v>682</v>
      </c>
      <c r="B34" s="26" t="s">
        <v>404</v>
      </c>
      <c r="C34" s="26" t="s">
        <v>662</v>
      </c>
      <c r="D34" s="34" t="s">
        <v>225</v>
      </c>
      <c r="E34" s="35" t="s">
        <v>683</v>
      </c>
      <c r="F34" s="31" t="s">
        <v>85</v>
      </c>
      <c r="G34" s="32" t="s">
        <v>664</v>
      </c>
      <c r="H34" s="31"/>
      <c r="I34" s="35" t="s">
        <v>684</v>
      </c>
    </row>
    <row r="35" spans="1:9" ht="36.75" customHeight="1" x14ac:dyDescent="0.3">
      <c r="A35" s="33"/>
      <c r="B35" s="26" t="s">
        <v>666</v>
      </c>
      <c r="C35" s="26" t="s">
        <v>685</v>
      </c>
      <c r="D35" s="34"/>
      <c r="E35" s="35"/>
      <c r="F35" s="31"/>
      <c r="G35" s="32"/>
      <c r="H35" s="31"/>
      <c r="I35" s="35"/>
    </row>
    <row r="36" spans="1:9" ht="36.75" customHeight="1" x14ac:dyDescent="0.3">
      <c r="A36" s="33"/>
      <c r="B36" s="26" t="s">
        <v>435</v>
      </c>
      <c r="C36" s="26" t="s">
        <v>667</v>
      </c>
      <c r="D36" s="34"/>
      <c r="E36" s="35"/>
      <c r="F36" s="31"/>
      <c r="G36" s="32"/>
      <c r="H36" s="31"/>
      <c r="I36" s="35"/>
    </row>
    <row r="37" spans="1:9" ht="45.75" customHeight="1" x14ac:dyDescent="0.3">
      <c r="A37" s="28" t="s">
        <v>686</v>
      </c>
      <c r="B37" s="25" t="s">
        <v>404</v>
      </c>
      <c r="C37" s="25" t="s">
        <v>675</v>
      </c>
      <c r="D37" s="29" t="s">
        <v>225</v>
      </c>
      <c r="E37" s="30" t="s">
        <v>687</v>
      </c>
      <c r="F37" s="31" t="s">
        <v>85</v>
      </c>
      <c r="G37" s="32" t="s">
        <v>664</v>
      </c>
      <c r="H37" s="31"/>
      <c r="I37" s="30" t="s">
        <v>688</v>
      </c>
    </row>
    <row r="38" spans="1:9" ht="45.75" customHeight="1" x14ac:dyDescent="0.3">
      <c r="A38" s="28"/>
      <c r="B38" s="25" t="s">
        <v>666</v>
      </c>
      <c r="C38" s="25" t="s">
        <v>685</v>
      </c>
      <c r="D38" s="29"/>
      <c r="E38" s="30"/>
      <c r="F38" s="31"/>
      <c r="G38" s="32"/>
      <c r="H38" s="31"/>
      <c r="I38" s="30"/>
    </row>
    <row r="39" spans="1:9" ht="45.75" customHeight="1" x14ac:dyDescent="0.3">
      <c r="A39" s="28"/>
      <c r="B39" s="25" t="s">
        <v>435</v>
      </c>
      <c r="C39" s="25" t="s">
        <v>667</v>
      </c>
      <c r="D39" s="29"/>
      <c r="E39" s="30"/>
      <c r="F39" s="31"/>
      <c r="G39" s="32"/>
      <c r="H39" s="31"/>
      <c r="I39" s="30"/>
    </row>
    <row r="40" spans="1:9" ht="30" customHeight="1" x14ac:dyDescent="0.3">
      <c r="A40" s="36" t="s">
        <v>689</v>
      </c>
      <c r="B40" s="36"/>
      <c r="C40" s="36"/>
      <c r="D40" s="36"/>
      <c r="E40" s="36"/>
      <c r="F40" s="36"/>
      <c r="G40" s="36"/>
      <c r="H40" s="36"/>
      <c r="I40" s="36"/>
    </row>
    <row r="41" spans="1:9" ht="31.5" customHeight="1" x14ac:dyDescent="0.3">
      <c r="A41" s="33" t="s">
        <v>690</v>
      </c>
      <c r="B41" s="26" t="s">
        <v>287</v>
      </c>
      <c r="C41" s="26" t="s">
        <v>691</v>
      </c>
      <c r="D41" s="34" t="s">
        <v>225</v>
      </c>
      <c r="E41" s="35" t="s">
        <v>692</v>
      </c>
      <c r="F41" s="31" t="s">
        <v>86</v>
      </c>
      <c r="G41" s="32" t="s">
        <v>693</v>
      </c>
      <c r="H41" s="31" t="s">
        <v>694</v>
      </c>
      <c r="I41" s="35" t="s">
        <v>695</v>
      </c>
    </row>
    <row r="42" spans="1:9" ht="31.5" customHeight="1" x14ac:dyDescent="0.3">
      <c r="A42" s="33"/>
      <c r="B42" s="26" t="s">
        <v>292</v>
      </c>
      <c r="C42" s="26" t="s">
        <v>293</v>
      </c>
      <c r="D42" s="34"/>
      <c r="E42" s="35"/>
      <c r="F42" s="31"/>
      <c r="G42" s="32"/>
      <c r="H42" s="31"/>
      <c r="I42" s="35"/>
    </row>
    <row r="43" spans="1:9" ht="45" customHeight="1" x14ac:dyDescent="0.3">
      <c r="A43" s="33"/>
      <c r="B43" s="26" t="s">
        <v>294</v>
      </c>
      <c r="C43" s="26" t="s">
        <v>696</v>
      </c>
      <c r="D43" s="34"/>
      <c r="E43" s="35"/>
      <c r="F43" s="31"/>
      <c r="G43" s="32"/>
      <c r="H43" s="31"/>
      <c r="I43" s="35"/>
    </row>
    <row r="44" spans="1:9" ht="45" customHeight="1" x14ac:dyDescent="0.3">
      <c r="A44" s="33"/>
      <c r="B44" s="26" t="s">
        <v>697</v>
      </c>
      <c r="C44" s="26" t="s">
        <v>698</v>
      </c>
      <c r="D44" s="34"/>
      <c r="E44" s="35"/>
      <c r="F44" s="31"/>
      <c r="G44" s="32"/>
      <c r="H44" s="31"/>
      <c r="I44" s="35"/>
    </row>
    <row r="45" spans="1:9" ht="45.75" customHeight="1" x14ac:dyDescent="0.3">
      <c r="A45" s="28" t="s">
        <v>699</v>
      </c>
      <c r="B45" s="25" t="s">
        <v>404</v>
      </c>
      <c r="C45" s="25" t="s">
        <v>700</v>
      </c>
      <c r="D45" s="29" t="s">
        <v>225</v>
      </c>
      <c r="E45" s="30" t="s">
        <v>701</v>
      </c>
      <c r="F45" s="31" t="s">
        <v>86</v>
      </c>
      <c r="G45" s="32" t="s">
        <v>702</v>
      </c>
      <c r="H45" s="31" t="s">
        <v>703</v>
      </c>
      <c r="I45" s="30" t="s">
        <v>704</v>
      </c>
    </row>
    <row r="46" spans="1:9" ht="33" customHeight="1" x14ac:dyDescent="0.3">
      <c r="A46" s="28"/>
      <c r="B46" s="25" t="s">
        <v>666</v>
      </c>
      <c r="C46" s="25" t="s">
        <v>578</v>
      </c>
      <c r="D46" s="29"/>
      <c r="E46" s="30"/>
      <c r="F46" s="31"/>
      <c r="G46" s="32"/>
      <c r="H46" s="31"/>
      <c r="I46" s="30"/>
    </row>
    <row r="47" spans="1:9" ht="33" customHeight="1" x14ac:dyDescent="0.3">
      <c r="A47" s="28"/>
      <c r="B47" s="25" t="s">
        <v>435</v>
      </c>
      <c r="C47" s="25" t="s">
        <v>667</v>
      </c>
      <c r="D47" s="29"/>
      <c r="E47" s="30"/>
      <c r="F47" s="31"/>
      <c r="G47" s="32"/>
      <c r="H47" s="31"/>
      <c r="I47" s="30"/>
    </row>
    <row r="48" spans="1:9" ht="41.25" customHeight="1" x14ac:dyDescent="0.3">
      <c r="A48" s="33" t="s">
        <v>705</v>
      </c>
      <c r="B48" s="26" t="s">
        <v>287</v>
      </c>
      <c r="C48" s="26" t="s">
        <v>706</v>
      </c>
      <c r="D48" s="34" t="s">
        <v>225</v>
      </c>
      <c r="E48" s="35" t="s">
        <v>707</v>
      </c>
      <c r="F48" s="31" t="s">
        <v>86</v>
      </c>
      <c r="G48" s="32" t="s">
        <v>708</v>
      </c>
      <c r="H48" s="31" t="s">
        <v>621</v>
      </c>
      <c r="I48" s="35" t="s">
        <v>709</v>
      </c>
    </row>
    <row r="49" spans="1:9" ht="41.25" customHeight="1" x14ac:dyDescent="0.3">
      <c r="A49" s="33"/>
      <c r="B49" s="26" t="s">
        <v>292</v>
      </c>
      <c r="C49" s="26" t="s">
        <v>293</v>
      </c>
      <c r="D49" s="34"/>
      <c r="E49" s="35"/>
      <c r="F49" s="31"/>
      <c r="G49" s="32"/>
      <c r="H49" s="31"/>
      <c r="I49" s="35"/>
    </row>
    <row r="50" spans="1:9" ht="54" customHeight="1" x14ac:dyDescent="0.3">
      <c r="A50" s="33"/>
      <c r="B50" s="26" t="s">
        <v>294</v>
      </c>
      <c r="C50" s="26" t="s">
        <v>710</v>
      </c>
      <c r="D50" s="34"/>
      <c r="E50" s="35"/>
      <c r="F50" s="31"/>
      <c r="G50" s="32"/>
      <c r="H50" s="31"/>
      <c r="I50" s="35"/>
    </row>
    <row r="51" spans="1:9" ht="45" customHeight="1" x14ac:dyDescent="0.3">
      <c r="A51" s="28" t="s">
        <v>711</v>
      </c>
      <c r="B51" s="25" t="s">
        <v>712</v>
      </c>
      <c r="C51" s="25" t="s">
        <v>713</v>
      </c>
      <c r="D51" s="29" t="s">
        <v>225</v>
      </c>
      <c r="E51" s="30" t="s">
        <v>714</v>
      </c>
      <c r="F51" s="31" t="s">
        <v>85</v>
      </c>
      <c r="G51" s="32" t="s">
        <v>715</v>
      </c>
      <c r="H51" s="31"/>
      <c r="I51" s="30" t="s">
        <v>716</v>
      </c>
    </row>
    <row r="52" spans="1:9" ht="31.5" customHeight="1" x14ac:dyDescent="0.3">
      <c r="A52" s="28"/>
      <c r="B52" s="25" t="s">
        <v>717</v>
      </c>
      <c r="C52" s="25" t="s">
        <v>718</v>
      </c>
      <c r="D52" s="29"/>
      <c r="E52" s="30"/>
      <c r="F52" s="31"/>
      <c r="G52" s="32"/>
      <c r="H52" s="31"/>
      <c r="I52" s="30"/>
    </row>
    <row r="53" spans="1:9" ht="18.75" customHeight="1" x14ac:dyDescent="0.3">
      <c r="A53" s="28"/>
      <c r="B53" s="25" t="s">
        <v>719</v>
      </c>
      <c r="C53" s="25" t="s">
        <v>720</v>
      </c>
      <c r="D53" s="29"/>
      <c r="E53" s="30"/>
      <c r="F53" s="31"/>
      <c r="G53" s="32"/>
      <c r="H53" s="31"/>
      <c r="I53" s="30"/>
    </row>
    <row r="54" spans="1:9" ht="31.5" customHeight="1" x14ac:dyDescent="0.3">
      <c r="A54" s="33" t="s">
        <v>721</v>
      </c>
      <c r="B54" s="26" t="s">
        <v>722</v>
      </c>
      <c r="C54" s="26" t="s">
        <v>723</v>
      </c>
      <c r="D54" s="34" t="s">
        <v>225</v>
      </c>
      <c r="E54" s="35" t="s">
        <v>724</v>
      </c>
      <c r="F54" s="31" t="s">
        <v>85</v>
      </c>
      <c r="G54" s="32" t="s">
        <v>725</v>
      </c>
      <c r="H54" s="31"/>
      <c r="I54" s="35" t="s">
        <v>726</v>
      </c>
    </row>
    <row r="55" spans="1:9" ht="18.75" customHeight="1" x14ac:dyDescent="0.3">
      <c r="A55" s="33"/>
      <c r="B55" s="26" t="s">
        <v>404</v>
      </c>
      <c r="C55" s="26" t="s">
        <v>662</v>
      </c>
      <c r="D55" s="34"/>
      <c r="E55" s="35"/>
      <c r="F55" s="31"/>
      <c r="G55" s="32"/>
      <c r="H55" s="31"/>
      <c r="I55" s="35"/>
    </row>
    <row r="56" spans="1:9" ht="18.75" customHeight="1" x14ac:dyDescent="0.3">
      <c r="A56" s="33"/>
      <c r="B56" s="26" t="s">
        <v>666</v>
      </c>
      <c r="C56" s="26" t="s">
        <v>583</v>
      </c>
      <c r="D56" s="34"/>
      <c r="E56" s="35"/>
      <c r="F56" s="31"/>
      <c r="G56" s="32"/>
      <c r="H56" s="31"/>
      <c r="I56" s="35"/>
    </row>
    <row r="57" spans="1:9" ht="31.5" customHeight="1" x14ac:dyDescent="0.3">
      <c r="A57" s="33"/>
      <c r="B57" s="26" t="s">
        <v>435</v>
      </c>
      <c r="C57" s="26" t="s">
        <v>727</v>
      </c>
      <c r="D57" s="34"/>
      <c r="E57" s="35"/>
      <c r="F57" s="31"/>
      <c r="G57" s="32"/>
      <c r="H57" s="31"/>
      <c r="I57" s="35"/>
    </row>
    <row r="58" spans="1:9" ht="33" customHeight="1" x14ac:dyDescent="0.3">
      <c r="A58" s="28" t="s">
        <v>728</v>
      </c>
      <c r="B58" s="25" t="s">
        <v>287</v>
      </c>
      <c r="C58" s="25" t="s">
        <v>706</v>
      </c>
      <c r="D58" s="29" t="s">
        <v>225</v>
      </c>
      <c r="E58" s="30" t="s">
        <v>729</v>
      </c>
      <c r="F58" s="31" t="s">
        <v>86</v>
      </c>
      <c r="G58" s="32" t="s">
        <v>730</v>
      </c>
      <c r="H58" s="31" t="s">
        <v>731</v>
      </c>
      <c r="I58" s="30" t="s">
        <v>732</v>
      </c>
    </row>
    <row r="59" spans="1:9" ht="33" customHeight="1" x14ac:dyDescent="0.3">
      <c r="A59" s="28"/>
      <c r="B59" s="25" t="s">
        <v>292</v>
      </c>
      <c r="C59" s="25" t="s">
        <v>293</v>
      </c>
      <c r="D59" s="29"/>
      <c r="E59" s="30"/>
      <c r="F59" s="31"/>
      <c r="G59" s="32"/>
      <c r="H59" s="31"/>
      <c r="I59" s="30"/>
    </row>
    <row r="60" spans="1:9" ht="33" customHeight="1" x14ac:dyDescent="0.3">
      <c r="A60" s="28"/>
      <c r="B60" s="25" t="s">
        <v>294</v>
      </c>
      <c r="C60" s="25" t="s">
        <v>733</v>
      </c>
      <c r="D60" s="29"/>
      <c r="E60" s="30"/>
      <c r="F60" s="31"/>
      <c r="G60" s="32"/>
      <c r="H60" s="31"/>
      <c r="I60" s="30"/>
    </row>
  </sheetData>
  <mergeCells count="121">
    <mergeCell ref="A1:I1"/>
    <mergeCell ref="A2:I2"/>
    <mergeCell ref="A4:C4"/>
    <mergeCell ref="E4:G4"/>
    <mergeCell ref="B5:C5"/>
    <mergeCell ref="F5:G5"/>
    <mergeCell ref="B6:C6"/>
    <mergeCell ref="F6:G6"/>
    <mergeCell ref="B7:C7"/>
    <mergeCell ref="F7:G7"/>
    <mergeCell ref="B8:C8"/>
    <mergeCell ref="F8:G8"/>
    <mergeCell ref="B9:C9"/>
    <mergeCell ref="F9:G9"/>
    <mergeCell ref="B10:C10"/>
    <mergeCell ref="F10:G10"/>
    <mergeCell ref="A11:C11"/>
    <mergeCell ref="F11:G11"/>
    <mergeCell ref="B12:C12"/>
    <mergeCell ref="F12:G12"/>
    <mergeCell ref="B13:C13"/>
    <mergeCell ref="F13:G13"/>
    <mergeCell ref="B14:C14"/>
    <mergeCell ref="F14:G14"/>
    <mergeCell ref="B15:C15"/>
    <mergeCell ref="F15:G15"/>
    <mergeCell ref="B16:C16"/>
    <mergeCell ref="F16:G16"/>
    <mergeCell ref="A17:I17"/>
    <mergeCell ref="A19:A21"/>
    <mergeCell ref="D19:D21"/>
    <mergeCell ref="E19:E21"/>
    <mergeCell ref="F19:F21"/>
    <mergeCell ref="G19:G21"/>
    <mergeCell ref="H19:H21"/>
    <mergeCell ref="I19:I21"/>
    <mergeCell ref="A22:A24"/>
    <mergeCell ref="D22:D24"/>
    <mergeCell ref="E22:E24"/>
    <mergeCell ref="F22:F24"/>
    <mergeCell ref="G22:G24"/>
    <mergeCell ref="H22:H24"/>
    <mergeCell ref="I22:I24"/>
    <mergeCell ref="A25:A27"/>
    <mergeCell ref="D25:D27"/>
    <mergeCell ref="E25:E27"/>
    <mergeCell ref="F25:F27"/>
    <mergeCell ref="G25:G27"/>
    <mergeCell ref="H25:H27"/>
    <mergeCell ref="I25:I27"/>
    <mergeCell ref="A28:A30"/>
    <mergeCell ref="D28:D30"/>
    <mergeCell ref="E28:E30"/>
    <mergeCell ref="F28:F30"/>
    <mergeCell ref="G28:G30"/>
    <mergeCell ref="H28:H30"/>
    <mergeCell ref="I28:I30"/>
    <mergeCell ref="A31:A33"/>
    <mergeCell ref="D31:D33"/>
    <mergeCell ref="E31:E33"/>
    <mergeCell ref="F31:F33"/>
    <mergeCell ref="G31:G33"/>
    <mergeCell ref="H31:H33"/>
    <mergeCell ref="I31:I33"/>
    <mergeCell ref="A34:A36"/>
    <mergeCell ref="D34:D36"/>
    <mergeCell ref="E34:E36"/>
    <mergeCell ref="F34:F36"/>
    <mergeCell ref="G34:G36"/>
    <mergeCell ref="H34:H36"/>
    <mergeCell ref="I34:I36"/>
    <mergeCell ref="A37:A39"/>
    <mergeCell ref="D37:D39"/>
    <mergeCell ref="E37:E39"/>
    <mergeCell ref="F37:F39"/>
    <mergeCell ref="G37:G39"/>
    <mergeCell ref="H37:H39"/>
    <mergeCell ref="I37:I39"/>
    <mergeCell ref="A40:I40"/>
    <mergeCell ref="A41:A44"/>
    <mergeCell ref="D41:D44"/>
    <mergeCell ref="E41:E44"/>
    <mergeCell ref="F41:F44"/>
    <mergeCell ref="G41:G44"/>
    <mergeCell ref="H41:H44"/>
    <mergeCell ref="I41:I44"/>
    <mergeCell ref="A45:A47"/>
    <mergeCell ref="D45:D47"/>
    <mergeCell ref="E45:E47"/>
    <mergeCell ref="F45:F47"/>
    <mergeCell ref="G45:G47"/>
    <mergeCell ref="H45:H47"/>
    <mergeCell ref="I45:I47"/>
    <mergeCell ref="A48:A50"/>
    <mergeCell ref="D48:D50"/>
    <mergeCell ref="E48:E50"/>
    <mergeCell ref="F48:F50"/>
    <mergeCell ref="G48:G50"/>
    <mergeCell ref="H48:H50"/>
    <mergeCell ref="I48:I50"/>
    <mergeCell ref="A58:A60"/>
    <mergeCell ref="D58:D60"/>
    <mergeCell ref="E58:E60"/>
    <mergeCell ref="F58:F60"/>
    <mergeCell ref="G58:G60"/>
    <mergeCell ref="H58:H60"/>
    <mergeCell ref="I58:I60"/>
    <mergeCell ref="A51:A53"/>
    <mergeCell ref="D51:D53"/>
    <mergeCell ref="E51:E53"/>
    <mergeCell ref="F51:F53"/>
    <mergeCell ref="G51:G53"/>
    <mergeCell ref="H51:H53"/>
    <mergeCell ref="I51:I53"/>
    <mergeCell ref="A54:A57"/>
    <mergeCell ref="D54:D57"/>
    <mergeCell ref="E54:E57"/>
    <mergeCell ref="F54:F57"/>
    <mergeCell ref="G54:G57"/>
    <mergeCell ref="H54:H57"/>
    <mergeCell ref="I54:I57"/>
  </mergeCells>
  <conditionalFormatting sqref="F19:F60">
    <cfRule type="cellIs" dxfId="7" priority="2" operator="equal">
      <formula>"OK"</formula>
    </cfRule>
    <cfRule type="cellIs" dxfId="6" priority="3" operator="equal">
      <formula>"NOK"</formula>
    </cfRule>
  </conditionalFormatting>
  <dataValidations count="4">
    <dataValidation type="list" allowBlank="1" sqref="B10" xr:uid="{00000000-0002-0000-0800-000000000000}">
      <formula1>"Unitaria,Integración,Funcional,Aceptación,Regresión,No funcional"</formula1>
      <formula2>0</formula2>
    </dataValidation>
    <dataValidation type="list" allowBlank="1" sqref="D19:D60" xr:uid="{00000000-0002-0000-0800-000001000000}">
      <formula1>"Positivo (+),Negativo (-)"</formula1>
      <formula2>0</formula2>
    </dataValidation>
    <dataValidation type="list" allowBlank="1" sqref="F19:F60" xr:uid="{00000000-0002-0000-0800-000002000000}">
      <formula1>"OK,NOK"</formula1>
      <formula2>0</formula2>
    </dataValidation>
    <dataValidation type="list" allowBlank="1" sqref="H19:H60" xr:uid="{00000000-0002-0000-0800-000003000000}">
      <formula1>"Baja,Media,Alta"</formula1>
      <formula2>0</formula2>
    </dataValidation>
  </dataValidations>
  <hyperlinks>
    <hyperlink ref="G19" r:id="rId1" xr:uid="{00000000-0004-0000-0800-000000000000}"/>
    <hyperlink ref="G22" r:id="rId2" xr:uid="{00000000-0004-0000-0800-000001000000}"/>
    <hyperlink ref="G25" r:id="rId3" xr:uid="{00000000-0004-0000-0800-000002000000}"/>
    <hyperlink ref="G28" r:id="rId4" xr:uid="{00000000-0004-0000-0800-000003000000}"/>
    <hyperlink ref="G31" r:id="rId5" xr:uid="{00000000-0004-0000-0800-000004000000}"/>
    <hyperlink ref="G34" r:id="rId6" xr:uid="{00000000-0004-0000-0800-000005000000}"/>
    <hyperlink ref="G37" r:id="rId7" xr:uid="{00000000-0004-0000-0800-000006000000}"/>
    <hyperlink ref="G41" r:id="rId8" xr:uid="{00000000-0004-0000-0800-000007000000}"/>
    <hyperlink ref="G45" r:id="rId9" xr:uid="{00000000-0004-0000-0800-000008000000}"/>
    <hyperlink ref="G48" r:id="rId10" xr:uid="{00000000-0004-0000-0800-000009000000}"/>
    <hyperlink ref="G51" r:id="rId11" xr:uid="{00000000-0004-0000-0800-00000A000000}"/>
    <hyperlink ref="G54" r:id="rId12" xr:uid="{00000000-0004-0000-0800-00000B000000}"/>
    <hyperlink ref="G58" r:id="rId13" xr:uid="{00000000-0004-0000-0800-00000C000000}"/>
  </hyperlinks>
  <pageMargins left="0.75" right="0.75" top="1" bottom="1" header="0.511811023622047" footer="0.511811023622047"/>
  <pageSetup fitToHeight="0" orientation="landscape" horizontalDpi="300" verticalDpi="300"/>
  <drawing r:id="rId1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56"/>
  <sheetViews>
    <sheetView showGridLines="0" zoomScale="46" zoomScaleNormal="46" workbookViewId="0">
      <pane xSplit="1" ySplit="18" topLeftCell="B19" activePane="bottomRight" state="frozen"/>
      <selection pane="topRight" activeCell="B1" sqref="B1"/>
      <selection pane="bottomLeft" activeCell="A19" sqref="A19"/>
      <selection pane="bottomRight" activeCell="N41" sqref="N41"/>
    </sheetView>
  </sheetViews>
  <sheetFormatPr baseColWidth="10" defaultColWidth="8.6640625" defaultRowHeight="14.4" x14ac:dyDescent="0.3"/>
  <cols>
    <col min="1" max="1" width="34" customWidth="1"/>
    <col min="2" max="2" width="22" customWidth="1"/>
    <col min="3" max="3" width="40" customWidth="1"/>
    <col min="4" max="4" width="14" customWidth="1"/>
    <col min="5" max="5" width="52" customWidth="1"/>
    <col min="6" max="6" width="16" customWidth="1"/>
    <col min="7" max="7" width="36" customWidth="1"/>
    <col min="8" max="8" width="16" customWidth="1"/>
    <col min="9" max="9" width="46" customWidth="1"/>
  </cols>
  <sheetData>
    <row r="1" spans="1:9" ht="33.75" customHeight="1" x14ac:dyDescent="0.3">
      <c r="A1" s="45" t="s">
        <v>734</v>
      </c>
      <c r="B1" s="45"/>
      <c r="C1" s="45"/>
      <c r="D1" s="45"/>
      <c r="E1" s="45"/>
      <c r="F1" s="45"/>
      <c r="G1" s="45"/>
      <c r="H1" s="45"/>
      <c r="I1" s="45"/>
    </row>
    <row r="2" spans="1:9" ht="15" customHeight="1" x14ac:dyDescent="0.3">
      <c r="A2" s="46" t="s">
        <v>559</v>
      </c>
      <c r="B2" s="46"/>
      <c r="C2" s="46"/>
      <c r="D2" s="46"/>
      <c r="E2" s="46"/>
      <c r="F2" s="46"/>
      <c r="G2" s="46"/>
      <c r="H2" s="46"/>
      <c r="I2" s="46"/>
    </row>
    <row r="4" spans="1:9" ht="15" customHeight="1" x14ac:dyDescent="0.3">
      <c r="A4" s="47" t="s">
        <v>149</v>
      </c>
      <c r="B4" s="47"/>
      <c r="C4" s="47"/>
      <c r="E4" s="47" t="s">
        <v>68</v>
      </c>
      <c r="F4" s="47"/>
      <c r="G4" s="47"/>
    </row>
    <row r="5" spans="1:9" ht="15" customHeight="1" x14ac:dyDescent="0.3">
      <c r="A5" s="4" t="s">
        <v>150</v>
      </c>
      <c r="B5" s="42" t="s">
        <v>151</v>
      </c>
      <c r="C5" s="42"/>
      <c r="E5" s="22" t="s">
        <v>69</v>
      </c>
      <c r="F5" s="38">
        <f>COUNTIF(A19:A56,"HE?_HU?_CA?_CP???")</f>
        <v>11</v>
      </c>
      <c r="G5" s="38"/>
    </row>
    <row r="6" spans="1:9" ht="15" customHeight="1" x14ac:dyDescent="0.3">
      <c r="A6" s="4" t="s">
        <v>152</v>
      </c>
      <c r="B6" s="42" t="s">
        <v>735</v>
      </c>
      <c r="C6" s="42"/>
      <c r="E6" s="22" t="s">
        <v>154</v>
      </c>
      <c r="F6" s="38">
        <f>COUNTIF(F19:F56,"OK")+COUNTIF(F19:F56,"NOK")</f>
        <v>11</v>
      </c>
      <c r="G6" s="38"/>
    </row>
    <row r="7" spans="1:9" ht="15" customHeight="1" x14ac:dyDescent="0.3">
      <c r="A7" s="4" t="s">
        <v>155</v>
      </c>
      <c r="B7" s="42" t="s">
        <v>561</v>
      </c>
      <c r="C7" s="42"/>
      <c r="E7" s="22" t="s">
        <v>157</v>
      </c>
      <c r="F7" s="38">
        <f>COUNTIF(F19:F56,"OK")</f>
        <v>10</v>
      </c>
      <c r="G7" s="38"/>
    </row>
    <row r="8" spans="1:9" ht="15" customHeight="1" x14ac:dyDescent="0.3">
      <c r="A8" s="4" t="s">
        <v>158</v>
      </c>
      <c r="B8" s="42"/>
      <c r="C8" s="42"/>
      <c r="E8" s="22" t="s">
        <v>159</v>
      </c>
      <c r="F8" s="38">
        <f>COUNTIF(F19:F56,"NOK")</f>
        <v>1</v>
      </c>
      <c r="G8" s="38"/>
    </row>
    <row r="9" spans="1:9" ht="15" customHeight="1" x14ac:dyDescent="0.3">
      <c r="A9" s="4" t="s">
        <v>160</v>
      </c>
      <c r="B9" s="42"/>
      <c r="C9" s="42"/>
      <c r="E9" s="22" t="s">
        <v>132</v>
      </c>
      <c r="F9" s="43">
        <f>IF(F6=0,"Sin ejecutados",F7/F6)</f>
        <v>0.90909090909090906</v>
      </c>
      <c r="G9" s="43"/>
    </row>
    <row r="10" spans="1:9" ht="15" customHeight="1" x14ac:dyDescent="0.3">
      <c r="A10" s="4" t="s">
        <v>161</v>
      </c>
      <c r="B10" s="42" t="s">
        <v>162</v>
      </c>
      <c r="C10" s="42"/>
      <c r="E10" s="22" t="s">
        <v>134</v>
      </c>
      <c r="F10" s="43">
        <f>IF(F6=0,"Sin ejecutados",F8/F6)</f>
        <v>9.0909090909090912E-2</v>
      </c>
      <c r="G10" s="43"/>
    </row>
    <row r="11" spans="1:9" ht="15" customHeight="1" x14ac:dyDescent="0.3">
      <c r="A11" s="44" t="s">
        <v>163</v>
      </c>
      <c r="B11" s="44"/>
      <c r="C11" s="44"/>
      <c r="E11" s="22" t="s">
        <v>164</v>
      </c>
      <c r="F11" s="38">
        <f>F5-F6</f>
        <v>0</v>
      </c>
      <c r="G11" s="38"/>
    </row>
    <row r="12" spans="1:9" ht="15" customHeight="1" x14ac:dyDescent="0.3">
      <c r="A12" s="4" t="s">
        <v>736</v>
      </c>
      <c r="B12" s="37">
        <f>COUNTIF(A19:A56,"*_CA1_*")</f>
        <v>5</v>
      </c>
      <c r="C12" s="37"/>
      <c r="E12" s="22" t="s">
        <v>166</v>
      </c>
      <c r="F12" s="38">
        <f>COUNTIF(D19:D56,"Positivo*")</f>
        <v>4</v>
      </c>
      <c r="G12" s="38"/>
    </row>
    <row r="13" spans="1:9" ht="15" customHeight="1" x14ac:dyDescent="0.3">
      <c r="A13" s="4" t="s">
        <v>737</v>
      </c>
      <c r="B13" s="37">
        <f>COUNTIF(A19:A56,"*_CA2_*")</f>
        <v>2</v>
      </c>
      <c r="C13" s="37"/>
      <c r="E13" s="22" t="s">
        <v>168</v>
      </c>
      <c r="F13" s="38">
        <f>COUNTIF(D19:D56,"Negativo*")</f>
        <v>7</v>
      </c>
      <c r="G13" s="38"/>
    </row>
    <row r="14" spans="1:9" ht="15" customHeight="1" x14ac:dyDescent="0.3">
      <c r="A14" s="4" t="s">
        <v>738</v>
      </c>
      <c r="B14" s="37">
        <f>COUNTIF(A19:A56,"*_CA3_*")</f>
        <v>4</v>
      </c>
      <c r="C14" s="37"/>
      <c r="E14" s="22" t="s">
        <v>170</v>
      </c>
      <c r="F14" s="38">
        <f>COUNTIFS(F19:F56,"NOK",H19:H56,"*Baja")</f>
        <v>0</v>
      </c>
      <c r="G14" s="38"/>
    </row>
    <row r="15" spans="1:9" ht="15" customHeight="1" x14ac:dyDescent="0.3">
      <c r="A15" s="23" t="s">
        <v>171</v>
      </c>
      <c r="B15" s="39">
        <f>COUNTIF(A19:A56,"*_CA4_*")</f>
        <v>0</v>
      </c>
      <c r="C15" s="39"/>
      <c r="E15" s="22" t="s">
        <v>172</v>
      </c>
      <c r="F15" s="38">
        <f>COUNTIFS(F19:F56,"NOK",H19:H56,"*Media")</f>
        <v>1</v>
      </c>
      <c r="G15" s="38"/>
    </row>
    <row r="16" spans="1:9" ht="15" customHeight="1" x14ac:dyDescent="0.3">
      <c r="A16" s="24" t="s">
        <v>173</v>
      </c>
      <c r="B16" s="40">
        <f>SUM(B12:B15)</f>
        <v>11</v>
      </c>
      <c r="C16" s="40"/>
      <c r="E16" s="22" t="s">
        <v>174</v>
      </c>
      <c r="F16" s="38">
        <f>COUNTIFS(F19:F56,"NOK",H19:H56,"*Alta")</f>
        <v>0</v>
      </c>
      <c r="G16" s="38"/>
    </row>
    <row r="17" spans="1:9" ht="15" customHeight="1" x14ac:dyDescent="0.3">
      <c r="A17" s="41" t="s">
        <v>175</v>
      </c>
      <c r="B17" s="41"/>
      <c r="C17" s="41"/>
      <c r="D17" s="41"/>
      <c r="E17" s="41"/>
      <c r="F17" s="41"/>
      <c r="G17" s="41"/>
      <c r="H17" s="41"/>
      <c r="I17" s="41"/>
    </row>
    <row r="18" spans="1:9" ht="33.75" customHeight="1" x14ac:dyDescent="0.3">
      <c r="A18" s="6" t="s">
        <v>16</v>
      </c>
      <c r="B18" s="6" t="s">
        <v>176</v>
      </c>
      <c r="C18" s="6" t="s">
        <v>177</v>
      </c>
      <c r="D18" s="6" t="s">
        <v>20</v>
      </c>
      <c r="E18" s="6" t="s">
        <v>22</v>
      </c>
      <c r="F18" s="6" t="s">
        <v>178</v>
      </c>
      <c r="G18" s="6" t="s">
        <v>179</v>
      </c>
      <c r="H18" s="6" t="s">
        <v>180</v>
      </c>
      <c r="I18" s="6" t="s">
        <v>24</v>
      </c>
    </row>
    <row r="19" spans="1:9" ht="27.75" customHeight="1" x14ac:dyDescent="0.3">
      <c r="A19" s="28" t="s">
        <v>739</v>
      </c>
      <c r="B19" s="25" t="s">
        <v>566</v>
      </c>
      <c r="C19" s="25" t="s">
        <v>740</v>
      </c>
      <c r="D19" s="29" t="s">
        <v>184</v>
      </c>
      <c r="E19" s="30" t="s">
        <v>741</v>
      </c>
      <c r="F19" s="31" t="s">
        <v>85</v>
      </c>
      <c r="G19" s="32" t="s">
        <v>742</v>
      </c>
      <c r="H19" s="31"/>
      <c r="I19" s="30" t="s">
        <v>743</v>
      </c>
    </row>
    <row r="20" spans="1:9" ht="27.75" customHeight="1" x14ac:dyDescent="0.3">
      <c r="A20" s="28"/>
      <c r="B20" s="25" t="s">
        <v>571</v>
      </c>
      <c r="C20" s="25" t="s">
        <v>572</v>
      </c>
      <c r="D20" s="29"/>
      <c r="E20" s="30"/>
      <c r="F20" s="31"/>
      <c r="G20" s="32"/>
      <c r="H20" s="31"/>
      <c r="I20" s="30"/>
    </row>
    <row r="21" spans="1:9" ht="27.75" customHeight="1" x14ac:dyDescent="0.3">
      <c r="A21" s="28"/>
      <c r="B21" s="25" t="s">
        <v>573</v>
      </c>
      <c r="C21" s="25" t="s">
        <v>574</v>
      </c>
      <c r="D21" s="29"/>
      <c r="E21" s="30"/>
      <c r="F21" s="31"/>
      <c r="G21" s="32"/>
      <c r="H21" s="31"/>
      <c r="I21" s="30"/>
    </row>
    <row r="22" spans="1:9" ht="27.75" customHeight="1" x14ac:dyDescent="0.3">
      <c r="A22" s="28"/>
      <c r="B22" s="25" t="s">
        <v>575</v>
      </c>
      <c r="C22" s="25" t="s">
        <v>576</v>
      </c>
      <c r="D22" s="29"/>
      <c r="E22" s="30"/>
      <c r="F22" s="31"/>
      <c r="G22" s="32"/>
      <c r="H22" s="31"/>
      <c r="I22" s="30"/>
    </row>
    <row r="23" spans="1:9" ht="19.5" customHeight="1" x14ac:dyDescent="0.3">
      <c r="A23" s="33" t="s">
        <v>744</v>
      </c>
      <c r="B23" s="26" t="s">
        <v>566</v>
      </c>
      <c r="C23" s="26" t="s">
        <v>740</v>
      </c>
      <c r="D23" s="34" t="s">
        <v>184</v>
      </c>
      <c r="E23" s="35" t="s">
        <v>741</v>
      </c>
      <c r="F23" s="31" t="s">
        <v>85</v>
      </c>
      <c r="G23" s="32" t="s">
        <v>742</v>
      </c>
      <c r="H23" s="31"/>
      <c r="I23" s="35" t="s">
        <v>745</v>
      </c>
    </row>
    <row r="24" spans="1:9" ht="19.5" customHeight="1" x14ac:dyDescent="0.3">
      <c r="A24" s="33"/>
      <c r="B24" s="26" t="s">
        <v>571</v>
      </c>
      <c r="C24" s="26" t="s">
        <v>572</v>
      </c>
      <c r="D24" s="34"/>
      <c r="E24" s="35"/>
      <c r="F24" s="31"/>
      <c r="G24" s="32"/>
      <c r="H24" s="31"/>
      <c r="I24" s="35"/>
    </row>
    <row r="25" spans="1:9" ht="19.5" customHeight="1" x14ac:dyDescent="0.3">
      <c r="A25" s="33"/>
      <c r="B25" s="26" t="s">
        <v>573</v>
      </c>
      <c r="C25" s="26" t="s">
        <v>574</v>
      </c>
      <c r="D25" s="34"/>
      <c r="E25" s="35"/>
      <c r="F25" s="31"/>
      <c r="G25" s="32"/>
      <c r="H25" s="31"/>
      <c r="I25" s="35"/>
    </row>
    <row r="26" spans="1:9" ht="19.5" customHeight="1" x14ac:dyDescent="0.3">
      <c r="A26" s="33"/>
      <c r="B26" s="26" t="s">
        <v>575</v>
      </c>
      <c r="C26" s="26" t="s">
        <v>576</v>
      </c>
      <c r="D26" s="34"/>
      <c r="E26" s="35"/>
      <c r="F26" s="31"/>
      <c r="G26" s="32"/>
      <c r="H26" s="31"/>
      <c r="I26" s="35"/>
    </row>
    <row r="27" spans="1:9" ht="32.25" customHeight="1" x14ac:dyDescent="0.3">
      <c r="A27" s="33"/>
      <c r="B27" s="26" t="s">
        <v>746</v>
      </c>
      <c r="C27" s="26" t="s">
        <v>747</v>
      </c>
      <c r="D27" s="34"/>
      <c r="E27" s="35"/>
      <c r="F27" s="31"/>
      <c r="G27" s="32"/>
      <c r="H27" s="31"/>
      <c r="I27" s="35"/>
    </row>
    <row r="28" spans="1:9" ht="19.5" customHeight="1" x14ac:dyDescent="0.3">
      <c r="A28" s="28" t="s">
        <v>748</v>
      </c>
      <c r="B28" s="25" t="s">
        <v>566</v>
      </c>
      <c r="C28" s="25" t="s">
        <v>740</v>
      </c>
      <c r="D28" s="29" t="s">
        <v>184</v>
      </c>
      <c r="E28" s="30" t="s">
        <v>741</v>
      </c>
      <c r="F28" s="31" t="s">
        <v>85</v>
      </c>
      <c r="G28" s="32" t="s">
        <v>742</v>
      </c>
      <c r="H28" s="31"/>
      <c r="I28" s="30" t="s">
        <v>749</v>
      </c>
    </row>
    <row r="29" spans="1:9" ht="19.5" customHeight="1" x14ac:dyDescent="0.3">
      <c r="A29" s="28"/>
      <c r="B29" s="25" t="s">
        <v>571</v>
      </c>
      <c r="C29" s="25" t="s">
        <v>572</v>
      </c>
      <c r="D29" s="29"/>
      <c r="E29" s="30"/>
      <c r="F29" s="31"/>
      <c r="G29" s="32"/>
      <c r="H29" s="31"/>
      <c r="I29" s="30"/>
    </row>
    <row r="30" spans="1:9" ht="19.5" customHeight="1" x14ac:dyDescent="0.3">
      <c r="A30" s="28"/>
      <c r="B30" s="25" t="s">
        <v>573</v>
      </c>
      <c r="C30" s="25" t="s">
        <v>750</v>
      </c>
      <c r="D30" s="29"/>
      <c r="E30" s="30"/>
      <c r="F30" s="31"/>
      <c r="G30" s="32"/>
      <c r="H30" s="31"/>
      <c r="I30" s="30"/>
    </row>
    <row r="31" spans="1:9" ht="19.5" customHeight="1" x14ac:dyDescent="0.3">
      <c r="A31" s="28"/>
      <c r="B31" s="25" t="s">
        <v>575</v>
      </c>
      <c r="C31" s="25" t="s">
        <v>576</v>
      </c>
      <c r="D31" s="29"/>
      <c r="E31" s="30"/>
      <c r="F31" s="31"/>
      <c r="G31" s="32"/>
      <c r="H31" s="31"/>
      <c r="I31" s="30"/>
    </row>
    <row r="32" spans="1:9" ht="32.25" customHeight="1" x14ac:dyDescent="0.3">
      <c r="A32" s="28"/>
      <c r="B32" s="25" t="s">
        <v>746</v>
      </c>
      <c r="C32" s="25" t="s">
        <v>747</v>
      </c>
      <c r="D32" s="29"/>
      <c r="E32" s="30"/>
      <c r="F32" s="31"/>
      <c r="G32" s="32"/>
      <c r="H32" s="31"/>
      <c r="I32" s="30"/>
    </row>
    <row r="33" spans="1:9" ht="58.5" customHeight="1" x14ac:dyDescent="0.3">
      <c r="A33" s="33" t="s">
        <v>751</v>
      </c>
      <c r="B33" s="26" t="s">
        <v>566</v>
      </c>
      <c r="C33" s="26" t="s">
        <v>752</v>
      </c>
      <c r="D33" s="34" t="s">
        <v>225</v>
      </c>
      <c r="E33" s="35" t="s">
        <v>753</v>
      </c>
      <c r="F33" s="31" t="s">
        <v>85</v>
      </c>
      <c r="G33" s="32" t="s">
        <v>742</v>
      </c>
      <c r="H33" s="31"/>
      <c r="I33" s="35" t="s">
        <v>754</v>
      </c>
    </row>
    <row r="34" spans="1:9" ht="58.5" customHeight="1" x14ac:dyDescent="0.3">
      <c r="A34" s="33"/>
      <c r="B34" s="26" t="s">
        <v>571</v>
      </c>
      <c r="C34" s="26" t="s">
        <v>755</v>
      </c>
      <c r="D34" s="34"/>
      <c r="E34" s="35"/>
      <c r="F34" s="31"/>
      <c r="G34" s="32"/>
      <c r="H34" s="31"/>
      <c r="I34" s="35"/>
    </row>
    <row r="35" spans="1:9" ht="58.5" customHeight="1" x14ac:dyDescent="0.3">
      <c r="A35" s="33"/>
      <c r="B35" s="26" t="s">
        <v>573</v>
      </c>
      <c r="C35" s="26" t="s">
        <v>574</v>
      </c>
      <c r="D35" s="34"/>
      <c r="E35" s="35"/>
      <c r="F35" s="31"/>
      <c r="G35" s="32"/>
      <c r="H35" s="31"/>
      <c r="I35" s="35"/>
    </row>
    <row r="36" spans="1:9" ht="67.5" customHeight="1" x14ac:dyDescent="0.3">
      <c r="A36" s="28" t="s">
        <v>756</v>
      </c>
      <c r="B36" s="25" t="s">
        <v>566</v>
      </c>
      <c r="C36" s="25" t="s">
        <v>224</v>
      </c>
      <c r="D36" s="29" t="s">
        <v>225</v>
      </c>
      <c r="E36" s="30" t="s">
        <v>757</v>
      </c>
      <c r="F36" s="31" t="s">
        <v>85</v>
      </c>
      <c r="G36" s="32" t="s">
        <v>742</v>
      </c>
      <c r="H36" s="31"/>
      <c r="I36" s="30" t="s">
        <v>758</v>
      </c>
    </row>
    <row r="37" spans="1:9" ht="67.5" customHeight="1" x14ac:dyDescent="0.3">
      <c r="A37" s="28"/>
      <c r="B37" s="25" t="s">
        <v>571</v>
      </c>
      <c r="C37" s="25" t="s">
        <v>572</v>
      </c>
      <c r="D37" s="29"/>
      <c r="E37" s="30"/>
      <c r="F37" s="31"/>
      <c r="G37" s="32"/>
      <c r="H37" s="31"/>
      <c r="I37" s="30"/>
    </row>
    <row r="38" spans="1:9" ht="67.5" customHeight="1" x14ac:dyDescent="0.3">
      <c r="A38" s="28"/>
      <c r="B38" s="25" t="s">
        <v>573</v>
      </c>
      <c r="C38" s="25" t="s">
        <v>574</v>
      </c>
      <c r="D38" s="29"/>
      <c r="E38" s="30"/>
      <c r="F38" s="31"/>
      <c r="G38" s="32"/>
      <c r="H38" s="31"/>
      <c r="I38" s="30"/>
    </row>
    <row r="39" spans="1:9" ht="67.5" customHeight="1" x14ac:dyDescent="0.3">
      <c r="A39" s="33" t="s">
        <v>759</v>
      </c>
      <c r="B39" s="26" t="s">
        <v>566</v>
      </c>
      <c r="C39" s="26" t="s">
        <v>740</v>
      </c>
      <c r="D39" s="34" t="s">
        <v>225</v>
      </c>
      <c r="E39" s="35" t="s">
        <v>760</v>
      </c>
      <c r="F39" s="31" t="s">
        <v>85</v>
      </c>
      <c r="G39" s="32" t="s">
        <v>742</v>
      </c>
      <c r="H39" s="31"/>
      <c r="I39" s="35" t="s">
        <v>761</v>
      </c>
    </row>
    <row r="40" spans="1:9" ht="67.5" customHeight="1" x14ac:dyDescent="0.3">
      <c r="A40" s="33"/>
      <c r="B40" s="26" t="s">
        <v>571</v>
      </c>
      <c r="C40" s="26" t="s">
        <v>224</v>
      </c>
      <c r="D40" s="34"/>
      <c r="E40" s="35"/>
      <c r="F40" s="31"/>
      <c r="G40" s="32"/>
      <c r="H40" s="31"/>
      <c r="I40" s="35"/>
    </row>
    <row r="41" spans="1:9" ht="67.5" customHeight="1" x14ac:dyDescent="0.3">
      <c r="A41" s="33"/>
      <c r="B41" s="26" t="s">
        <v>573</v>
      </c>
      <c r="C41" s="26" t="s">
        <v>574</v>
      </c>
      <c r="D41" s="34"/>
      <c r="E41" s="35"/>
      <c r="F41" s="31"/>
      <c r="G41" s="32"/>
      <c r="H41" s="31"/>
      <c r="I41" s="35"/>
    </row>
    <row r="42" spans="1:9" ht="114" customHeight="1" x14ac:dyDescent="0.3">
      <c r="A42" s="28" t="s">
        <v>762</v>
      </c>
      <c r="B42" s="25" t="s">
        <v>566</v>
      </c>
      <c r="C42" s="25" t="s">
        <v>740</v>
      </c>
      <c r="D42" s="29" t="s">
        <v>225</v>
      </c>
      <c r="E42" s="30" t="s">
        <v>763</v>
      </c>
      <c r="F42" s="31" t="s">
        <v>85</v>
      </c>
      <c r="G42" s="32" t="s">
        <v>742</v>
      </c>
      <c r="H42" s="31"/>
      <c r="I42" s="30" t="s">
        <v>764</v>
      </c>
    </row>
    <row r="43" spans="1:9" ht="114" customHeight="1" x14ac:dyDescent="0.3">
      <c r="A43" s="28"/>
      <c r="B43" s="25" t="s">
        <v>571</v>
      </c>
      <c r="C43" s="25" t="s">
        <v>572</v>
      </c>
      <c r="D43" s="29"/>
      <c r="E43" s="30"/>
      <c r="F43" s="31"/>
      <c r="G43" s="32"/>
      <c r="H43" s="31"/>
      <c r="I43" s="30"/>
    </row>
    <row r="44" spans="1:9" ht="30" customHeight="1" x14ac:dyDescent="0.3">
      <c r="A44" s="36" t="s">
        <v>765</v>
      </c>
      <c r="B44" s="36"/>
      <c r="C44" s="36"/>
      <c r="D44" s="36"/>
      <c r="E44" s="36"/>
      <c r="F44" s="36"/>
      <c r="G44" s="36"/>
      <c r="H44" s="36"/>
      <c r="I44" s="36"/>
    </row>
    <row r="45" spans="1:9" ht="36.75" customHeight="1" x14ac:dyDescent="0.3">
      <c r="A45" s="33" t="s">
        <v>766</v>
      </c>
      <c r="B45" s="26" t="s">
        <v>666</v>
      </c>
      <c r="C45" s="26" t="s">
        <v>767</v>
      </c>
      <c r="D45" s="34" t="s">
        <v>184</v>
      </c>
      <c r="E45" s="35" t="s">
        <v>768</v>
      </c>
      <c r="F45" s="31" t="s">
        <v>85</v>
      </c>
      <c r="G45" s="32" t="s">
        <v>769</v>
      </c>
      <c r="H45" s="31"/>
      <c r="I45" s="35" t="s">
        <v>770</v>
      </c>
    </row>
    <row r="46" spans="1:9" ht="36.75" customHeight="1" x14ac:dyDescent="0.3">
      <c r="A46" s="33"/>
      <c r="B46" s="26" t="s">
        <v>771</v>
      </c>
      <c r="C46" s="26" t="s">
        <v>772</v>
      </c>
      <c r="D46" s="34"/>
      <c r="E46" s="35"/>
      <c r="F46" s="31"/>
      <c r="G46" s="32"/>
      <c r="H46" s="31"/>
      <c r="I46" s="35"/>
    </row>
    <row r="47" spans="1:9" ht="24" customHeight="1" x14ac:dyDescent="0.3">
      <c r="A47" s="33"/>
      <c r="B47" s="26" t="s">
        <v>529</v>
      </c>
      <c r="C47" s="26" t="s">
        <v>773</v>
      </c>
      <c r="D47" s="34"/>
      <c r="E47" s="35"/>
      <c r="F47" s="31"/>
      <c r="G47" s="32"/>
      <c r="H47" s="31"/>
      <c r="I47" s="35"/>
    </row>
    <row r="48" spans="1:9" ht="33" customHeight="1" x14ac:dyDescent="0.3">
      <c r="A48" s="28" t="s">
        <v>774</v>
      </c>
      <c r="B48" s="25" t="s">
        <v>775</v>
      </c>
      <c r="C48" s="25" t="s">
        <v>776</v>
      </c>
      <c r="D48" s="29" t="s">
        <v>225</v>
      </c>
      <c r="E48" s="30" t="s">
        <v>777</v>
      </c>
      <c r="F48" s="31" t="s">
        <v>86</v>
      </c>
      <c r="G48" s="32" t="s">
        <v>778</v>
      </c>
      <c r="H48" s="31" t="s">
        <v>779</v>
      </c>
      <c r="I48" s="30" t="s">
        <v>780</v>
      </c>
    </row>
    <row r="49" spans="1:9" ht="33" customHeight="1" x14ac:dyDescent="0.3">
      <c r="A49" s="28"/>
      <c r="B49" s="25" t="s">
        <v>666</v>
      </c>
      <c r="C49" s="25" t="s">
        <v>781</v>
      </c>
      <c r="D49" s="29"/>
      <c r="E49" s="30"/>
      <c r="F49" s="31"/>
      <c r="G49" s="32"/>
      <c r="H49" s="31"/>
      <c r="I49" s="30"/>
    </row>
    <row r="50" spans="1:9" ht="33" customHeight="1" x14ac:dyDescent="0.3">
      <c r="A50" s="28"/>
      <c r="B50" s="25" t="s">
        <v>771</v>
      </c>
      <c r="C50" s="25" t="s">
        <v>782</v>
      </c>
      <c r="D50" s="29"/>
      <c r="E50" s="30"/>
      <c r="F50" s="31"/>
      <c r="G50" s="32"/>
      <c r="H50" s="31"/>
      <c r="I50" s="30"/>
    </row>
    <row r="51" spans="1:9" ht="31.5" customHeight="1" x14ac:dyDescent="0.3">
      <c r="A51" s="33" t="s">
        <v>783</v>
      </c>
      <c r="B51" s="26" t="s">
        <v>287</v>
      </c>
      <c r="C51" s="26" t="s">
        <v>784</v>
      </c>
      <c r="D51" s="34" t="s">
        <v>225</v>
      </c>
      <c r="E51" s="35" t="s">
        <v>785</v>
      </c>
      <c r="F51" s="31" t="s">
        <v>85</v>
      </c>
      <c r="G51" s="32" t="s">
        <v>786</v>
      </c>
      <c r="H51" s="31"/>
      <c r="I51" s="35" t="s">
        <v>787</v>
      </c>
    </row>
    <row r="52" spans="1:9" ht="31.5" customHeight="1" x14ac:dyDescent="0.3">
      <c r="A52" s="33"/>
      <c r="B52" s="26" t="s">
        <v>292</v>
      </c>
      <c r="C52" s="26" t="s">
        <v>293</v>
      </c>
      <c r="D52" s="34"/>
      <c r="E52" s="35"/>
      <c r="F52" s="31"/>
      <c r="G52" s="32"/>
      <c r="H52" s="31"/>
      <c r="I52" s="35"/>
    </row>
    <row r="53" spans="1:9" ht="45" customHeight="1" x14ac:dyDescent="0.3">
      <c r="A53" s="33"/>
      <c r="B53" s="26" t="s">
        <v>294</v>
      </c>
      <c r="C53" s="26" t="s">
        <v>788</v>
      </c>
      <c r="D53" s="34"/>
      <c r="E53" s="35"/>
      <c r="F53" s="31"/>
      <c r="G53" s="32"/>
      <c r="H53" s="31"/>
      <c r="I53" s="35"/>
    </row>
    <row r="54" spans="1:9" ht="31.5" customHeight="1" x14ac:dyDescent="0.3">
      <c r="A54" s="28" t="s">
        <v>789</v>
      </c>
      <c r="B54" s="25" t="s">
        <v>666</v>
      </c>
      <c r="C54" s="25" t="s">
        <v>790</v>
      </c>
      <c r="D54" s="29" t="s">
        <v>225</v>
      </c>
      <c r="E54" s="30" t="s">
        <v>791</v>
      </c>
      <c r="F54" s="31" t="s">
        <v>85</v>
      </c>
      <c r="G54" s="32" t="s">
        <v>792</v>
      </c>
      <c r="H54" s="31"/>
      <c r="I54" s="30" t="s">
        <v>793</v>
      </c>
    </row>
    <row r="55" spans="1:9" ht="31.5" customHeight="1" x14ac:dyDescent="0.3">
      <c r="A55" s="28"/>
      <c r="B55" s="25" t="s">
        <v>771</v>
      </c>
      <c r="C55" s="25" t="s">
        <v>794</v>
      </c>
      <c r="D55" s="29"/>
      <c r="E55" s="30"/>
      <c r="F55" s="31"/>
      <c r="G55" s="32"/>
      <c r="H55" s="31"/>
      <c r="I55" s="30"/>
    </row>
    <row r="56" spans="1:9" ht="18.75" customHeight="1" x14ac:dyDescent="0.3">
      <c r="A56" s="28"/>
      <c r="B56" s="25" t="s">
        <v>435</v>
      </c>
      <c r="C56" s="25" t="s">
        <v>795</v>
      </c>
      <c r="D56" s="29"/>
      <c r="E56" s="30"/>
      <c r="F56" s="31"/>
      <c r="G56" s="32"/>
      <c r="H56" s="31"/>
      <c r="I56" s="30"/>
    </row>
  </sheetData>
  <mergeCells count="107">
    <mergeCell ref="A1:I1"/>
    <mergeCell ref="A2:I2"/>
    <mergeCell ref="A4:C4"/>
    <mergeCell ref="E4:G4"/>
    <mergeCell ref="B5:C5"/>
    <mergeCell ref="F5:G5"/>
    <mergeCell ref="B6:C6"/>
    <mergeCell ref="F6:G6"/>
    <mergeCell ref="B7:C7"/>
    <mergeCell ref="F7:G7"/>
    <mergeCell ref="B8:C8"/>
    <mergeCell ref="F8:G8"/>
    <mergeCell ref="B9:C9"/>
    <mergeCell ref="F9:G9"/>
    <mergeCell ref="B10:C10"/>
    <mergeCell ref="F10:G10"/>
    <mergeCell ref="A11:C11"/>
    <mergeCell ref="F11:G11"/>
    <mergeCell ref="B12:C12"/>
    <mergeCell ref="F12:G12"/>
    <mergeCell ref="B13:C13"/>
    <mergeCell ref="F13:G13"/>
    <mergeCell ref="B14:C14"/>
    <mergeCell ref="F14:G14"/>
    <mergeCell ref="B15:C15"/>
    <mergeCell ref="F15:G15"/>
    <mergeCell ref="B16:C16"/>
    <mergeCell ref="F16:G16"/>
    <mergeCell ref="A17:I17"/>
    <mergeCell ref="A19:A22"/>
    <mergeCell ref="D19:D22"/>
    <mergeCell ref="E19:E22"/>
    <mergeCell ref="F19:F22"/>
    <mergeCell ref="G19:G22"/>
    <mergeCell ref="H19:H22"/>
    <mergeCell ref="I19:I22"/>
    <mergeCell ref="A23:A27"/>
    <mergeCell ref="D23:D27"/>
    <mergeCell ref="E23:E27"/>
    <mergeCell ref="F23:F27"/>
    <mergeCell ref="G23:G27"/>
    <mergeCell ref="H23:H27"/>
    <mergeCell ref="I23:I27"/>
    <mergeCell ref="A28:A32"/>
    <mergeCell ref="D28:D32"/>
    <mergeCell ref="E28:E32"/>
    <mergeCell ref="F28:F32"/>
    <mergeCell ref="G28:G32"/>
    <mergeCell ref="H28:H32"/>
    <mergeCell ref="I28:I32"/>
    <mergeCell ref="A33:A35"/>
    <mergeCell ref="D33:D35"/>
    <mergeCell ref="E33:E35"/>
    <mergeCell ref="F33:F35"/>
    <mergeCell ref="G33:G35"/>
    <mergeCell ref="H33:H35"/>
    <mergeCell ref="I33:I35"/>
    <mergeCell ref="A36:A38"/>
    <mergeCell ref="D36:D38"/>
    <mergeCell ref="E36:E38"/>
    <mergeCell ref="F36:F38"/>
    <mergeCell ref="G36:G38"/>
    <mergeCell ref="H36:H38"/>
    <mergeCell ref="I36:I38"/>
    <mergeCell ref="A39:A41"/>
    <mergeCell ref="D39:D41"/>
    <mergeCell ref="E39:E41"/>
    <mergeCell ref="F39:F41"/>
    <mergeCell ref="G39:G41"/>
    <mergeCell ref="H39:H41"/>
    <mergeCell ref="I39:I41"/>
    <mergeCell ref="A42:A43"/>
    <mergeCell ref="D42:D43"/>
    <mergeCell ref="E42:E43"/>
    <mergeCell ref="F42:F43"/>
    <mergeCell ref="G42:G43"/>
    <mergeCell ref="H42:H43"/>
    <mergeCell ref="I42:I43"/>
    <mergeCell ref="A44:I44"/>
    <mergeCell ref="A45:A47"/>
    <mergeCell ref="D45:D47"/>
    <mergeCell ref="E45:E47"/>
    <mergeCell ref="F45:F47"/>
    <mergeCell ref="G45:G47"/>
    <mergeCell ref="H45:H47"/>
    <mergeCell ref="I45:I47"/>
    <mergeCell ref="A54:A56"/>
    <mergeCell ref="D54:D56"/>
    <mergeCell ref="E54:E56"/>
    <mergeCell ref="F54:F56"/>
    <mergeCell ref="G54:G56"/>
    <mergeCell ref="H54:H56"/>
    <mergeCell ref="I54:I56"/>
    <mergeCell ref="A48:A50"/>
    <mergeCell ref="D48:D50"/>
    <mergeCell ref="E48:E50"/>
    <mergeCell ref="F48:F50"/>
    <mergeCell ref="G48:G50"/>
    <mergeCell ref="H48:H50"/>
    <mergeCell ref="I48:I50"/>
    <mergeCell ref="A51:A53"/>
    <mergeCell ref="D51:D53"/>
    <mergeCell ref="E51:E53"/>
    <mergeCell ref="F51:F53"/>
    <mergeCell ref="G51:G53"/>
    <mergeCell ref="H51:H53"/>
    <mergeCell ref="I51:I53"/>
  </mergeCells>
  <conditionalFormatting sqref="F19:F56">
    <cfRule type="cellIs" dxfId="5" priority="2" operator="equal">
      <formula>"OK"</formula>
    </cfRule>
    <cfRule type="cellIs" dxfId="4" priority="3" operator="equal">
      <formula>"NOK"</formula>
    </cfRule>
  </conditionalFormatting>
  <dataValidations count="4">
    <dataValidation type="list" allowBlank="1" sqref="B10" xr:uid="{00000000-0002-0000-0900-000000000000}">
      <formula1>"Unitaria,Integración,Funcional,Aceptación,Regresión,No funcional"</formula1>
      <formula2>0</formula2>
    </dataValidation>
    <dataValidation type="list" allowBlank="1" sqref="D19:D56" xr:uid="{00000000-0002-0000-0900-000001000000}">
      <formula1>"Positivo (+),Negativo (-)"</formula1>
      <formula2>0</formula2>
    </dataValidation>
    <dataValidation type="list" allowBlank="1" sqref="F19:F56" xr:uid="{00000000-0002-0000-0900-000002000000}">
      <formula1>"OK,NOK"</formula1>
      <formula2>0</formula2>
    </dataValidation>
    <dataValidation type="list" allowBlank="1" sqref="H19:H56" xr:uid="{00000000-0002-0000-0900-000003000000}">
      <formula1>"Baja,Media,Alta"</formula1>
      <formula2>0</formula2>
    </dataValidation>
  </dataValidations>
  <hyperlinks>
    <hyperlink ref="G19" r:id="rId1" xr:uid="{00000000-0004-0000-0900-000000000000}"/>
    <hyperlink ref="G23" r:id="rId2" xr:uid="{00000000-0004-0000-0900-000001000000}"/>
    <hyperlink ref="G28" r:id="rId3" xr:uid="{00000000-0004-0000-0900-000002000000}"/>
    <hyperlink ref="G33" r:id="rId4" xr:uid="{00000000-0004-0000-0900-000003000000}"/>
    <hyperlink ref="G36" r:id="rId5" xr:uid="{00000000-0004-0000-0900-000004000000}"/>
    <hyperlink ref="G39" r:id="rId6" xr:uid="{00000000-0004-0000-0900-000005000000}"/>
    <hyperlink ref="G42" r:id="rId7" xr:uid="{00000000-0004-0000-0900-000006000000}"/>
    <hyperlink ref="G45" r:id="rId8" xr:uid="{00000000-0004-0000-0900-000007000000}"/>
    <hyperlink ref="G48" r:id="rId9" xr:uid="{00000000-0004-0000-0900-000008000000}"/>
    <hyperlink ref="G51" r:id="rId10" xr:uid="{00000000-0004-0000-0900-000009000000}"/>
    <hyperlink ref="G54" r:id="rId11" xr:uid="{00000000-0004-0000-0900-00000A000000}"/>
  </hyperlinks>
  <pageMargins left="0.75" right="0.75" top="1" bottom="1" header="0.511811023622047" footer="0.511811023622047"/>
  <pageSetup fitToHeight="0" orientation="landscape" horizontalDpi="300" verticalDpi="300"/>
  <drawing r:id="rId1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O51"/>
  <sheetViews>
    <sheetView showGridLines="0" zoomScale="49" zoomScaleNormal="49" workbookViewId="0">
      <pane xSplit="1" ySplit="18" topLeftCell="B19" activePane="bottomRight" state="frozen"/>
      <selection pane="topRight" activeCell="B1" sqref="B1"/>
      <selection pane="bottomLeft" activeCell="A19" sqref="A19"/>
      <selection pane="bottomRight" activeCell="O28" sqref="O28"/>
    </sheetView>
  </sheetViews>
  <sheetFormatPr baseColWidth="10" defaultColWidth="8.6640625" defaultRowHeight="14.4" x14ac:dyDescent="0.3"/>
  <cols>
    <col min="1" max="1" width="34" customWidth="1"/>
    <col min="2" max="2" width="22" customWidth="1"/>
    <col min="3" max="3" width="40" customWidth="1"/>
    <col min="4" max="4" width="14" customWidth="1"/>
    <col min="5" max="5" width="52" customWidth="1"/>
    <col min="6" max="6" width="16" customWidth="1"/>
    <col min="7" max="7" width="36" customWidth="1"/>
    <col min="8" max="8" width="16" customWidth="1"/>
    <col min="9" max="9" width="46" customWidth="1"/>
  </cols>
  <sheetData>
    <row r="1" spans="1:9" ht="33.75" customHeight="1" x14ac:dyDescent="0.3">
      <c r="A1" s="45" t="s">
        <v>796</v>
      </c>
      <c r="B1" s="45"/>
      <c r="C1" s="45"/>
      <c r="D1" s="45"/>
      <c r="E1" s="45"/>
      <c r="F1" s="45"/>
      <c r="G1" s="45"/>
      <c r="H1" s="45"/>
      <c r="I1" s="45"/>
    </row>
    <row r="2" spans="1:9" ht="15" customHeight="1" x14ac:dyDescent="0.3">
      <c r="A2" s="46" t="s">
        <v>797</v>
      </c>
      <c r="B2" s="46"/>
      <c r="C2" s="46"/>
      <c r="D2" s="46"/>
      <c r="E2" s="46"/>
      <c r="F2" s="46"/>
      <c r="G2" s="46"/>
      <c r="H2" s="46"/>
      <c r="I2" s="46"/>
    </row>
    <row r="4" spans="1:9" ht="15" customHeight="1" x14ac:dyDescent="0.3">
      <c r="A4" s="47" t="s">
        <v>149</v>
      </c>
      <c r="B4" s="47"/>
      <c r="C4" s="47"/>
      <c r="E4" s="47" t="s">
        <v>68</v>
      </c>
      <c r="F4" s="47"/>
      <c r="G4" s="47"/>
    </row>
    <row r="5" spans="1:9" ht="15" customHeight="1" x14ac:dyDescent="0.3">
      <c r="A5" s="4" t="s">
        <v>150</v>
      </c>
      <c r="B5" s="42" t="s">
        <v>151</v>
      </c>
      <c r="C5" s="42"/>
      <c r="E5" s="22" t="s">
        <v>69</v>
      </c>
      <c r="F5" s="38">
        <f>COUNTIF(A19:A51,"HE?_HU?_CA?_CP???")</f>
        <v>9</v>
      </c>
      <c r="G5" s="38"/>
    </row>
    <row r="6" spans="1:9" ht="15" customHeight="1" x14ac:dyDescent="0.3">
      <c r="A6" s="4" t="s">
        <v>152</v>
      </c>
      <c r="B6" s="42" t="s">
        <v>798</v>
      </c>
      <c r="C6" s="42"/>
      <c r="E6" s="22" t="s">
        <v>154</v>
      </c>
      <c r="F6" s="38">
        <f>COUNTIF(F19:F51,"OK")+COUNTIF(F19:F51,"NOK")</f>
        <v>8</v>
      </c>
      <c r="G6" s="38"/>
    </row>
    <row r="7" spans="1:9" ht="15" customHeight="1" x14ac:dyDescent="0.3">
      <c r="A7" s="4" t="s">
        <v>155</v>
      </c>
      <c r="B7" s="42" t="s">
        <v>561</v>
      </c>
      <c r="C7" s="42"/>
      <c r="E7" s="22" t="s">
        <v>157</v>
      </c>
      <c r="F7" s="38">
        <f>COUNTIF(F19:F51,"OK")</f>
        <v>7</v>
      </c>
      <c r="G7" s="38"/>
    </row>
    <row r="8" spans="1:9" ht="15" customHeight="1" x14ac:dyDescent="0.3">
      <c r="A8" s="4" t="s">
        <v>158</v>
      </c>
      <c r="B8" s="42"/>
      <c r="C8" s="42"/>
      <c r="E8" s="22" t="s">
        <v>159</v>
      </c>
      <c r="F8" s="38">
        <f>COUNTIF(F19:F51,"NOK")</f>
        <v>1</v>
      </c>
      <c r="G8" s="38"/>
    </row>
    <row r="9" spans="1:9" ht="15" customHeight="1" x14ac:dyDescent="0.3">
      <c r="A9" s="4" t="s">
        <v>160</v>
      </c>
      <c r="B9" s="42"/>
      <c r="C9" s="42"/>
      <c r="E9" s="22" t="s">
        <v>132</v>
      </c>
      <c r="F9" s="43">
        <f>IF(F6=0,"Sin ejecutados",F7/F6)</f>
        <v>0.875</v>
      </c>
      <c r="G9" s="43"/>
    </row>
    <row r="10" spans="1:9" ht="15" customHeight="1" x14ac:dyDescent="0.3">
      <c r="A10" s="4" t="s">
        <v>161</v>
      </c>
      <c r="B10" s="42" t="s">
        <v>162</v>
      </c>
      <c r="C10" s="42"/>
      <c r="E10" s="22" t="s">
        <v>134</v>
      </c>
      <c r="F10" s="43">
        <f>IF(F6=0,"Sin ejecutados",F8/F6)</f>
        <v>0.125</v>
      </c>
      <c r="G10" s="43"/>
    </row>
    <row r="11" spans="1:9" ht="15" customHeight="1" x14ac:dyDescent="0.3">
      <c r="A11" s="44" t="s">
        <v>163</v>
      </c>
      <c r="B11" s="44"/>
      <c r="C11" s="44"/>
      <c r="E11" s="22" t="s">
        <v>164</v>
      </c>
      <c r="F11" s="38">
        <f>F5-F6</f>
        <v>1</v>
      </c>
      <c r="G11" s="38"/>
    </row>
    <row r="12" spans="1:9" ht="15" customHeight="1" x14ac:dyDescent="0.3">
      <c r="A12" s="4" t="s">
        <v>799</v>
      </c>
      <c r="B12" s="37">
        <f>COUNTIF(A19:A51,"*_CA1_*")</f>
        <v>5</v>
      </c>
      <c r="C12" s="37"/>
      <c r="E12" s="22" t="s">
        <v>166</v>
      </c>
      <c r="F12" s="38">
        <f>COUNTIF(D19:D51,"Positivo*")</f>
        <v>4</v>
      </c>
      <c r="G12" s="38"/>
    </row>
    <row r="13" spans="1:9" ht="15" customHeight="1" x14ac:dyDescent="0.3">
      <c r="A13" s="4" t="s">
        <v>800</v>
      </c>
      <c r="B13" s="37">
        <f>COUNTIF(A19:A51,"*_CA2_*")</f>
        <v>1</v>
      </c>
      <c r="C13" s="37"/>
      <c r="E13" s="22" t="s">
        <v>168</v>
      </c>
      <c r="F13" s="38">
        <f>COUNTIF(D19:D51,"Negativo*")</f>
        <v>5</v>
      </c>
      <c r="G13" s="38"/>
    </row>
    <row r="14" spans="1:9" ht="15" customHeight="1" x14ac:dyDescent="0.3">
      <c r="A14" s="4" t="s">
        <v>801</v>
      </c>
      <c r="B14" s="37">
        <f>COUNTIF(A19:A51,"*_CA3_*")</f>
        <v>1</v>
      </c>
      <c r="C14" s="37"/>
      <c r="E14" s="22" t="s">
        <v>170</v>
      </c>
      <c r="F14" s="38">
        <f>COUNTIFS(F19:F51,"NOK",H19:H51,"*Baja")</f>
        <v>1</v>
      </c>
      <c r="G14" s="38"/>
    </row>
    <row r="15" spans="1:9" ht="15" customHeight="1" x14ac:dyDescent="0.3">
      <c r="A15" s="23" t="s">
        <v>802</v>
      </c>
      <c r="B15" s="39">
        <f>COUNTIF(A19:A51,"*_CA4_*")</f>
        <v>2</v>
      </c>
      <c r="C15" s="39"/>
      <c r="E15" s="22" t="s">
        <v>172</v>
      </c>
      <c r="F15" s="38">
        <f>COUNTIFS(F19:F51,"NOK",H19:H51,"*Media")</f>
        <v>0</v>
      </c>
      <c r="G15" s="38"/>
    </row>
    <row r="16" spans="1:9" ht="15" customHeight="1" x14ac:dyDescent="0.3">
      <c r="A16" s="24" t="s">
        <v>173</v>
      </c>
      <c r="B16" s="40">
        <f>SUM(B12:B15)</f>
        <v>9</v>
      </c>
      <c r="C16" s="40"/>
      <c r="E16" s="22" t="s">
        <v>174</v>
      </c>
      <c r="F16" s="38">
        <f>COUNTIFS(F19:F51,"NOK",H19:H51,"*Alta")</f>
        <v>0</v>
      </c>
      <c r="G16" s="38"/>
    </row>
    <row r="17" spans="1:15" ht="15" customHeight="1" x14ac:dyDescent="0.3">
      <c r="A17" s="41" t="s">
        <v>175</v>
      </c>
      <c r="B17" s="41"/>
      <c r="C17" s="41"/>
      <c r="D17" s="41"/>
      <c r="E17" s="41"/>
      <c r="F17" s="41"/>
      <c r="G17" s="41"/>
      <c r="H17" s="41"/>
      <c r="I17" s="41"/>
    </row>
    <row r="18" spans="1:15" ht="33.75" customHeight="1" x14ac:dyDescent="0.3">
      <c r="A18" s="6" t="s">
        <v>16</v>
      </c>
      <c r="B18" s="6" t="s">
        <v>176</v>
      </c>
      <c r="C18" s="6" t="s">
        <v>177</v>
      </c>
      <c r="D18" s="6" t="s">
        <v>20</v>
      </c>
      <c r="E18" s="6" t="s">
        <v>22</v>
      </c>
      <c r="F18" s="6" t="s">
        <v>178</v>
      </c>
      <c r="G18" s="6" t="s">
        <v>179</v>
      </c>
      <c r="H18" s="6" t="s">
        <v>180</v>
      </c>
      <c r="I18" s="6" t="s">
        <v>24</v>
      </c>
    </row>
    <row r="19" spans="1:15" ht="37.5" customHeight="1" x14ac:dyDescent="0.3">
      <c r="A19" s="28" t="s">
        <v>803</v>
      </c>
      <c r="B19" s="25" t="s">
        <v>541</v>
      </c>
      <c r="C19" s="25" t="s">
        <v>376</v>
      </c>
      <c r="D19" s="29" t="s">
        <v>184</v>
      </c>
      <c r="E19" s="30" t="s">
        <v>804</v>
      </c>
      <c r="F19" s="31" t="s">
        <v>85</v>
      </c>
      <c r="G19" s="32" t="s">
        <v>805</v>
      </c>
      <c r="H19" s="31"/>
      <c r="I19" s="30" t="s">
        <v>806</v>
      </c>
    </row>
    <row r="20" spans="1:15" ht="37.5" customHeight="1" x14ac:dyDescent="0.3">
      <c r="A20" s="28"/>
      <c r="B20" s="25" t="s">
        <v>196</v>
      </c>
      <c r="C20" s="25" t="s">
        <v>807</v>
      </c>
      <c r="D20" s="29"/>
      <c r="E20" s="30"/>
      <c r="F20" s="31"/>
      <c r="G20" s="32"/>
      <c r="H20" s="31"/>
      <c r="I20" s="30"/>
    </row>
    <row r="21" spans="1:15" ht="37.5" customHeight="1" x14ac:dyDescent="0.3">
      <c r="A21" s="28"/>
      <c r="B21" s="25" t="s">
        <v>808</v>
      </c>
      <c r="C21" s="25" t="s">
        <v>809</v>
      </c>
      <c r="D21" s="29"/>
      <c r="E21" s="30"/>
      <c r="F21" s="31"/>
      <c r="G21" s="32"/>
      <c r="H21" s="31"/>
      <c r="I21" s="30"/>
    </row>
    <row r="22" spans="1:15" ht="50.25" customHeight="1" x14ac:dyDescent="0.3">
      <c r="A22" s="28"/>
      <c r="B22" s="25" t="s">
        <v>810</v>
      </c>
      <c r="C22" s="25" t="s">
        <v>811</v>
      </c>
      <c r="D22" s="29"/>
      <c r="E22" s="30"/>
      <c r="F22" s="31"/>
      <c r="G22" s="32"/>
      <c r="H22" s="31"/>
      <c r="I22" s="30"/>
    </row>
    <row r="23" spans="1:15" ht="37.5" customHeight="1" x14ac:dyDescent="0.3">
      <c r="A23" s="33" t="s">
        <v>812</v>
      </c>
      <c r="B23" s="26" t="s">
        <v>541</v>
      </c>
      <c r="C23" s="26" t="s">
        <v>189</v>
      </c>
      <c r="D23" s="34" t="s">
        <v>184</v>
      </c>
      <c r="E23" s="35" t="s">
        <v>813</v>
      </c>
      <c r="F23" s="31" t="s">
        <v>85</v>
      </c>
      <c r="G23" s="32" t="s">
        <v>805</v>
      </c>
      <c r="H23" s="31"/>
      <c r="I23" s="35" t="s">
        <v>814</v>
      </c>
    </row>
    <row r="24" spans="1:15" ht="37.5" customHeight="1" x14ac:dyDescent="0.3">
      <c r="A24" s="33"/>
      <c r="B24" s="26" t="s">
        <v>196</v>
      </c>
      <c r="C24" s="26" t="s">
        <v>357</v>
      </c>
      <c r="D24" s="34"/>
      <c r="E24" s="35"/>
      <c r="F24" s="31"/>
      <c r="G24" s="32"/>
      <c r="H24" s="31"/>
      <c r="I24" s="35"/>
    </row>
    <row r="25" spans="1:15" ht="37.5" customHeight="1" x14ac:dyDescent="0.3">
      <c r="A25" s="33"/>
      <c r="B25" s="26" t="s">
        <v>808</v>
      </c>
      <c r="C25" s="26" t="s">
        <v>809</v>
      </c>
      <c r="D25" s="34"/>
      <c r="E25" s="35"/>
      <c r="F25" s="31"/>
      <c r="G25" s="32"/>
      <c r="H25" s="31"/>
      <c r="I25" s="35"/>
    </row>
    <row r="26" spans="1:15" ht="37.5" customHeight="1" x14ac:dyDescent="0.3">
      <c r="A26" s="33"/>
      <c r="B26" s="26" t="s">
        <v>810</v>
      </c>
      <c r="C26" s="26" t="s">
        <v>815</v>
      </c>
      <c r="D26" s="34"/>
      <c r="E26" s="35"/>
      <c r="F26" s="31"/>
      <c r="G26" s="32"/>
      <c r="H26" s="31"/>
      <c r="I26" s="35"/>
    </row>
    <row r="27" spans="1:15" ht="37.5" customHeight="1" x14ac:dyDescent="0.3">
      <c r="A27" s="28" t="s">
        <v>816</v>
      </c>
      <c r="B27" s="25" t="s">
        <v>541</v>
      </c>
      <c r="C27" s="25" t="s">
        <v>219</v>
      </c>
      <c r="D27" s="29" t="s">
        <v>225</v>
      </c>
      <c r="E27" s="30" t="s">
        <v>817</v>
      </c>
      <c r="F27" s="31" t="s">
        <v>85</v>
      </c>
      <c r="G27" s="32" t="s">
        <v>805</v>
      </c>
      <c r="H27" s="31"/>
      <c r="I27" s="30" t="s">
        <v>818</v>
      </c>
    </row>
    <row r="28" spans="1:15" ht="37.5" customHeight="1" x14ac:dyDescent="0.3">
      <c r="A28" s="28"/>
      <c r="B28" s="25" t="s">
        <v>196</v>
      </c>
      <c r="C28" s="25" t="s">
        <v>222</v>
      </c>
      <c r="D28" s="29"/>
      <c r="E28" s="30"/>
      <c r="F28" s="31"/>
      <c r="G28" s="32"/>
      <c r="H28" s="31"/>
      <c r="I28" s="30"/>
      <c r="O28" s="27"/>
    </row>
    <row r="29" spans="1:15" ht="37.5" customHeight="1" x14ac:dyDescent="0.3">
      <c r="A29" s="28"/>
      <c r="B29" s="25" t="s">
        <v>808</v>
      </c>
      <c r="C29" s="25" t="s">
        <v>809</v>
      </c>
      <c r="D29" s="29"/>
      <c r="E29" s="30"/>
      <c r="F29" s="31"/>
      <c r="G29" s="32"/>
      <c r="H29" s="31"/>
      <c r="I29" s="30"/>
    </row>
    <row r="30" spans="1:15" ht="37.5" customHeight="1" x14ac:dyDescent="0.3">
      <c r="A30" s="28"/>
      <c r="B30" s="25" t="s">
        <v>810</v>
      </c>
      <c r="C30" s="25" t="s">
        <v>819</v>
      </c>
      <c r="D30" s="29"/>
      <c r="E30" s="30"/>
      <c r="F30" s="31"/>
      <c r="G30" s="32"/>
      <c r="H30" s="31"/>
      <c r="I30" s="30"/>
    </row>
    <row r="31" spans="1:15" ht="44.25" customHeight="1" x14ac:dyDescent="0.3">
      <c r="A31" s="33" t="s">
        <v>820</v>
      </c>
      <c r="B31" s="26" t="s">
        <v>541</v>
      </c>
      <c r="C31" s="26" t="s">
        <v>189</v>
      </c>
      <c r="D31" s="34" t="s">
        <v>225</v>
      </c>
      <c r="E31" s="35" t="s">
        <v>821</v>
      </c>
      <c r="F31" s="31" t="s">
        <v>85</v>
      </c>
      <c r="G31" s="32" t="s">
        <v>805</v>
      </c>
      <c r="H31" s="31"/>
      <c r="I31" s="35" t="s">
        <v>822</v>
      </c>
    </row>
    <row r="32" spans="1:15" ht="44.25" customHeight="1" x14ac:dyDescent="0.3">
      <c r="A32" s="33"/>
      <c r="B32" s="26" t="s">
        <v>196</v>
      </c>
      <c r="C32" s="26" t="s">
        <v>357</v>
      </c>
      <c r="D32" s="34"/>
      <c r="E32" s="35"/>
      <c r="F32" s="31"/>
      <c r="G32" s="32"/>
      <c r="H32" s="31"/>
      <c r="I32" s="35"/>
    </row>
    <row r="33" spans="1:9" ht="44.25" customHeight="1" x14ac:dyDescent="0.3">
      <c r="A33" s="33"/>
      <c r="B33" s="26" t="s">
        <v>808</v>
      </c>
      <c r="C33" s="26" t="s">
        <v>809</v>
      </c>
      <c r="D33" s="34"/>
      <c r="E33" s="35"/>
      <c r="F33" s="31"/>
      <c r="G33" s="32"/>
      <c r="H33" s="31"/>
      <c r="I33" s="35"/>
    </row>
    <row r="34" spans="1:9" ht="44.25" customHeight="1" x14ac:dyDescent="0.3">
      <c r="A34" s="33"/>
      <c r="B34" s="26" t="s">
        <v>810</v>
      </c>
      <c r="C34" s="26" t="s">
        <v>823</v>
      </c>
      <c r="D34" s="34"/>
      <c r="E34" s="35"/>
      <c r="F34" s="31"/>
      <c r="G34" s="32"/>
      <c r="H34" s="31"/>
      <c r="I34" s="35"/>
    </row>
    <row r="35" spans="1:9" ht="34.5" customHeight="1" x14ac:dyDescent="0.3">
      <c r="A35" s="28" t="s">
        <v>824</v>
      </c>
      <c r="B35" s="25" t="s">
        <v>541</v>
      </c>
      <c r="C35" s="25" t="s">
        <v>376</v>
      </c>
      <c r="D35" s="29" t="s">
        <v>184</v>
      </c>
      <c r="E35" s="30" t="s">
        <v>825</v>
      </c>
      <c r="F35" s="31" t="s">
        <v>85</v>
      </c>
      <c r="G35" s="32" t="s">
        <v>805</v>
      </c>
      <c r="H35" s="31"/>
      <c r="I35" s="30" t="s">
        <v>826</v>
      </c>
    </row>
    <row r="36" spans="1:9" ht="34.5" customHeight="1" x14ac:dyDescent="0.3">
      <c r="A36" s="28"/>
      <c r="B36" s="25" t="s">
        <v>196</v>
      </c>
      <c r="C36" s="25" t="s">
        <v>807</v>
      </c>
      <c r="D36" s="29"/>
      <c r="E36" s="30"/>
      <c r="F36" s="31"/>
      <c r="G36" s="32"/>
      <c r="H36" s="31"/>
      <c r="I36" s="30"/>
    </row>
    <row r="37" spans="1:9" ht="34.5" customHeight="1" x14ac:dyDescent="0.3">
      <c r="A37" s="28"/>
      <c r="B37" s="25" t="s">
        <v>808</v>
      </c>
      <c r="C37" s="25" t="s">
        <v>809</v>
      </c>
      <c r="D37" s="29"/>
      <c r="E37" s="30"/>
      <c r="F37" s="31"/>
      <c r="G37" s="32"/>
      <c r="H37" s="31"/>
      <c r="I37" s="30"/>
    </row>
    <row r="38" spans="1:9" ht="47.25" customHeight="1" x14ac:dyDescent="0.3">
      <c r="A38" s="28"/>
      <c r="B38" s="25" t="s">
        <v>810</v>
      </c>
      <c r="C38" s="25" t="s">
        <v>827</v>
      </c>
      <c r="D38" s="29"/>
      <c r="E38" s="30"/>
      <c r="F38" s="31"/>
      <c r="G38" s="32"/>
      <c r="H38" s="31"/>
      <c r="I38" s="30"/>
    </row>
    <row r="39" spans="1:9" ht="37.5" customHeight="1" x14ac:dyDescent="0.3">
      <c r="A39" s="33" t="s">
        <v>828</v>
      </c>
      <c r="B39" s="26" t="s">
        <v>541</v>
      </c>
      <c r="C39" s="26" t="s">
        <v>376</v>
      </c>
      <c r="D39" s="34" t="s">
        <v>184</v>
      </c>
      <c r="E39" s="35" t="s">
        <v>829</v>
      </c>
      <c r="F39" s="31" t="s">
        <v>85</v>
      </c>
      <c r="G39" s="32" t="s">
        <v>805</v>
      </c>
      <c r="H39" s="31"/>
      <c r="I39" s="35" t="s">
        <v>830</v>
      </c>
    </row>
    <row r="40" spans="1:9" ht="37.5" customHeight="1" x14ac:dyDescent="0.3">
      <c r="A40" s="33"/>
      <c r="B40" s="26" t="s">
        <v>196</v>
      </c>
      <c r="C40" s="26" t="s">
        <v>807</v>
      </c>
      <c r="D40" s="34"/>
      <c r="E40" s="35"/>
      <c r="F40" s="31"/>
      <c r="G40" s="32"/>
      <c r="H40" s="31"/>
      <c r="I40" s="35"/>
    </row>
    <row r="41" spans="1:9" ht="37.5" customHeight="1" x14ac:dyDescent="0.3">
      <c r="A41" s="33"/>
      <c r="B41" s="26" t="s">
        <v>808</v>
      </c>
      <c r="C41" s="26" t="s">
        <v>809</v>
      </c>
      <c r="D41" s="34"/>
      <c r="E41" s="35"/>
      <c r="F41" s="31"/>
      <c r="G41" s="32"/>
      <c r="H41" s="31"/>
      <c r="I41" s="35"/>
    </row>
    <row r="42" spans="1:9" ht="37.5" customHeight="1" x14ac:dyDescent="0.3">
      <c r="A42" s="33"/>
      <c r="B42" s="26" t="s">
        <v>810</v>
      </c>
      <c r="C42" s="26" t="s">
        <v>831</v>
      </c>
      <c r="D42" s="34"/>
      <c r="E42" s="35"/>
      <c r="F42" s="31"/>
      <c r="G42" s="32"/>
      <c r="H42" s="31"/>
      <c r="I42" s="35"/>
    </row>
    <row r="43" spans="1:9" ht="30" customHeight="1" x14ac:dyDescent="0.3">
      <c r="A43" s="36" t="s">
        <v>832</v>
      </c>
      <c r="B43" s="36"/>
      <c r="C43" s="36"/>
      <c r="D43" s="36"/>
      <c r="E43" s="36"/>
      <c r="F43" s="36"/>
      <c r="G43" s="36"/>
      <c r="H43" s="36"/>
      <c r="I43" s="36"/>
    </row>
    <row r="44" spans="1:9" ht="31.5" customHeight="1" x14ac:dyDescent="0.3">
      <c r="A44" s="28" t="s">
        <v>833</v>
      </c>
      <c r="B44" s="25" t="s">
        <v>775</v>
      </c>
      <c r="C44" s="25" t="s">
        <v>834</v>
      </c>
      <c r="D44" s="29" t="s">
        <v>225</v>
      </c>
      <c r="E44" s="30" t="s">
        <v>835</v>
      </c>
      <c r="F44" s="31" t="s">
        <v>85</v>
      </c>
      <c r="G44" s="32" t="s">
        <v>836</v>
      </c>
      <c r="H44" s="31"/>
      <c r="I44" s="30" t="s">
        <v>837</v>
      </c>
    </row>
    <row r="45" spans="1:9" ht="31.5" customHeight="1" x14ac:dyDescent="0.3">
      <c r="A45" s="28"/>
      <c r="B45" s="25" t="s">
        <v>287</v>
      </c>
      <c r="C45" s="25" t="s">
        <v>838</v>
      </c>
      <c r="D45" s="29"/>
      <c r="E45" s="30"/>
      <c r="F45" s="31"/>
      <c r="G45" s="32"/>
      <c r="H45" s="31"/>
      <c r="I45" s="30"/>
    </row>
    <row r="46" spans="1:9" ht="18.75" customHeight="1" x14ac:dyDescent="0.3">
      <c r="A46" s="28"/>
      <c r="B46" s="25" t="s">
        <v>810</v>
      </c>
      <c r="C46" s="25" t="s">
        <v>839</v>
      </c>
      <c r="D46" s="29"/>
      <c r="E46" s="30"/>
      <c r="F46" s="31"/>
      <c r="G46" s="32"/>
      <c r="H46" s="31"/>
      <c r="I46" s="30"/>
    </row>
    <row r="47" spans="1:9" ht="36.75" customHeight="1" x14ac:dyDescent="0.3">
      <c r="A47" s="33" t="s">
        <v>840</v>
      </c>
      <c r="B47" s="26" t="s">
        <v>841</v>
      </c>
      <c r="C47" s="26" t="s">
        <v>842</v>
      </c>
      <c r="D47" s="34" t="s">
        <v>225</v>
      </c>
      <c r="E47" s="35" t="s">
        <v>843</v>
      </c>
      <c r="F47" s="31"/>
      <c r="G47" s="32" t="s">
        <v>844</v>
      </c>
      <c r="H47" s="31"/>
      <c r="I47" s="35" t="s">
        <v>845</v>
      </c>
    </row>
    <row r="48" spans="1:9" ht="24" customHeight="1" x14ac:dyDescent="0.3">
      <c r="A48" s="33"/>
      <c r="B48" s="26" t="s">
        <v>846</v>
      </c>
      <c r="C48" s="26" t="s">
        <v>847</v>
      </c>
      <c r="D48" s="34"/>
      <c r="E48" s="35"/>
      <c r="F48" s="31"/>
      <c r="G48" s="32"/>
      <c r="H48" s="31"/>
      <c r="I48" s="35"/>
    </row>
    <row r="49" spans="1:9" ht="36.75" customHeight="1" x14ac:dyDescent="0.3">
      <c r="A49" s="33"/>
      <c r="B49" s="26" t="s">
        <v>529</v>
      </c>
      <c r="C49" s="26" t="s">
        <v>848</v>
      </c>
      <c r="D49" s="34"/>
      <c r="E49" s="35"/>
      <c r="F49" s="31"/>
      <c r="G49" s="32"/>
      <c r="H49" s="31"/>
      <c r="I49" s="35"/>
    </row>
    <row r="50" spans="1:9" ht="28.5" customHeight="1" x14ac:dyDescent="0.3">
      <c r="A50" s="28" t="s">
        <v>849</v>
      </c>
      <c r="B50" s="25" t="s">
        <v>775</v>
      </c>
      <c r="C50" s="25" t="s">
        <v>850</v>
      </c>
      <c r="D50" s="29" t="s">
        <v>225</v>
      </c>
      <c r="E50" s="30" t="s">
        <v>851</v>
      </c>
      <c r="F50" s="31" t="s">
        <v>86</v>
      </c>
      <c r="G50" s="32" t="s">
        <v>852</v>
      </c>
      <c r="H50" s="31" t="s">
        <v>853</v>
      </c>
      <c r="I50" s="30" t="s">
        <v>854</v>
      </c>
    </row>
    <row r="51" spans="1:9" ht="28.5" customHeight="1" x14ac:dyDescent="0.3">
      <c r="A51" s="28"/>
      <c r="B51" s="25" t="s">
        <v>435</v>
      </c>
      <c r="C51" s="25" t="s">
        <v>855</v>
      </c>
      <c r="D51" s="29"/>
      <c r="E51" s="30"/>
      <c r="F51" s="31"/>
      <c r="G51" s="32"/>
      <c r="H51" s="31"/>
      <c r="I51" s="30"/>
    </row>
  </sheetData>
  <mergeCells count="93">
    <mergeCell ref="A1:I1"/>
    <mergeCell ref="A2:I2"/>
    <mergeCell ref="A4:C4"/>
    <mergeCell ref="E4:G4"/>
    <mergeCell ref="B5:C5"/>
    <mergeCell ref="F5:G5"/>
    <mergeCell ref="B6:C6"/>
    <mergeCell ref="F6:G6"/>
    <mergeCell ref="B7:C7"/>
    <mergeCell ref="F7:G7"/>
    <mergeCell ref="B8:C8"/>
    <mergeCell ref="F8:G8"/>
    <mergeCell ref="B9:C9"/>
    <mergeCell ref="F9:G9"/>
    <mergeCell ref="B10:C10"/>
    <mergeCell ref="F10:G10"/>
    <mergeCell ref="A11:C11"/>
    <mergeCell ref="F11:G11"/>
    <mergeCell ref="B12:C12"/>
    <mergeCell ref="F12:G12"/>
    <mergeCell ref="B13:C13"/>
    <mergeCell ref="F13:G13"/>
    <mergeCell ref="B14:C14"/>
    <mergeCell ref="F14:G14"/>
    <mergeCell ref="B15:C15"/>
    <mergeCell ref="F15:G15"/>
    <mergeCell ref="B16:C16"/>
    <mergeCell ref="F16:G16"/>
    <mergeCell ref="A17:I17"/>
    <mergeCell ref="H19:H22"/>
    <mergeCell ref="I19:I22"/>
    <mergeCell ref="A23:A26"/>
    <mergeCell ref="D23:D26"/>
    <mergeCell ref="E23:E26"/>
    <mergeCell ref="F23:F26"/>
    <mergeCell ref="G23:G26"/>
    <mergeCell ref="H23:H26"/>
    <mergeCell ref="I23:I26"/>
    <mergeCell ref="A19:A22"/>
    <mergeCell ref="D19:D22"/>
    <mergeCell ref="E19:E22"/>
    <mergeCell ref="F19:F22"/>
    <mergeCell ref="G19:G22"/>
    <mergeCell ref="H27:H30"/>
    <mergeCell ref="I27:I30"/>
    <mergeCell ref="A31:A34"/>
    <mergeCell ref="D31:D34"/>
    <mergeCell ref="E31:E34"/>
    <mergeCell ref="F31:F34"/>
    <mergeCell ref="G31:G34"/>
    <mergeCell ref="H31:H34"/>
    <mergeCell ref="I31:I34"/>
    <mergeCell ref="A27:A30"/>
    <mergeCell ref="D27:D30"/>
    <mergeCell ref="E27:E30"/>
    <mergeCell ref="F27:F30"/>
    <mergeCell ref="G27:G30"/>
    <mergeCell ref="H35:H38"/>
    <mergeCell ref="I35:I38"/>
    <mergeCell ref="A39:A42"/>
    <mergeCell ref="D39:D42"/>
    <mergeCell ref="E39:E42"/>
    <mergeCell ref="F39:F42"/>
    <mergeCell ref="G39:G42"/>
    <mergeCell ref="H39:H42"/>
    <mergeCell ref="I39:I42"/>
    <mergeCell ref="A35:A38"/>
    <mergeCell ref="D35:D38"/>
    <mergeCell ref="E35:E38"/>
    <mergeCell ref="F35:F38"/>
    <mergeCell ref="G35:G38"/>
    <mergeCell ref="A43:I43"/>
    <mergeCell ref="A44:A46"/>
    <mergeCell ref="D44:D46"/>
    <mergeCell ref="E44:E46"/>
    <mergeCell ref="F44:F46"/>
    <mergeCell ref="G44:G46"/>
    <mergeCell ref="H44:H46"/>
    <mergeCell ref="I44:I46"/>
    <mergeCell ref="H47:H49"/>
    <mergeCell ref="I47:I49"/>
    <mergeCell ref="A50:A51"/>
    <mergeCell ref="D50:D51"/>
    <mergeCell ref="E50:E51"/>
    <mergeCell ref="F50:F51"/>
    <mergeCell ref="G50:G51"/>
    <mergeCell ref="H50:H51"/>
    <mergeCell ref="I50:I51"/>
    <mergeCell ref="A47:A49"/>
    <mergeCell ref="D47:D49"/>
    <mergeCell ref="E47:E49"/>
    <mergeCell ref="F47:F49"/>
    <mergeCell ref="G47:G49"/>
  </mergeCells>
  <conditionalFormatting sqref="F19:F51">
    <cfRule type="cellIs" dxfId="3" priority="2" operator="equal">
      <formula>"OK"</formula>
    </cfRule>
    <cfRule type="cellIs" dxfId="2" priority="3" operator="equal">
      <formula>"NOK"</formula>
    </cfRule>
  </conditionalFormatting>
  <dataValidations count="4">
    <dataValidation type="list" allowBlank="1" sqref="B10" xr:uid="{00000000-0002-0000-0A00-000000000000}">
      <formula1>"Unitaria,Integración,Funcional,Aceptación,Regresión,No funcional"</formula1>
      <formula2>0</formula2>
    </dataValidation>
    <dataValidation type="list" allowBlank="1" sqref="D19:D51" xr:uid="{00000000-0002-0000-0A00-000001000000}">
      <formula1>"Positivo (+),Negativo (-)"</formula1>
      <formula2>0</formula2>
    </dataValidation>
    <dataValidation type="list" allowBlank="1" sqref="F19:F51" xr:uid="{00000000-0002-0000-0A00-000002000000}">
      <formula1>"OK,NOK"</formula1>
      <formula2>0</formula2>
    </dataValidation>
    <dataValidation type="list" allowBlank="1" sqref="H19:H51" xr:uid="{00000000-0002-0000-0A00-000003000000}">
      <formula1>"Baja,Media,Alta"</formula1>
      <formula2>0</formula2>
    </dataValidation>
  </dataValidations>
  <hyperlinks>
    <hyperlink ref="G19" r:id="rId1" xr:uid="{00000000-0004-0000-0A00-000000000000}"/>
    <hyperlink ref="G23" r:id="rId2" xr:uid="{00000000-0004-0000-0A00-000001000000}"/>
    <hyperlink ref="G27" r:id="rId3" xr:uid="{00000000-0004-0000-0A00-000002000000}"/>
    <hyperlink ref="G31" r:id="rId4" xr:uid="{00000000-0004-0000-0A00-000003000000}"/>
    <hyperlink ref="G35" r:id="rId5" xr:uid="{00000000-0004-0000-0A00-000004000000}"/>
    <hyperlink ref="G39" r:id="rId6" xr:uid="{00000000-0004-0000-0A00-000005000000}"/>
    <hyperlink ref="G44" r:id="rId7" xr:uid="{00000000-0004-0000-0A00-000006000000}"/>
    <hyperlink ref="G47" r:id="rId8" xr:uid="{00000000-0004-0000-0A00-000007000000}"/>
    <hyperlink ref="G50" r:id="rId9" xr:uid="{00000000-0004-0000-0A00-000008000000}"/>
  </hyperlinks>
  <pageMargins left="0.75" right="0.75" top="1" bottom="1" header="0.511811023622047" footer="0.511811023622047"/>
  <pageSetup fitToHeight="0" orientation="landscape" horizontalDpi="300" verticalDpi="300"/>
  <drawing r:id="rId1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58"/>
  <sheetViews>
    <sheetView showGridLines="0" zoomScaleNormal="100" workbookViewId="0">
      <pane xSplit="1" ySplit="18" topLeftCell="B19" activePane="bottomRight" state="frozen"/>
      <selection pane="topRight" activeCell="B1" sqref="B1"/>
      <selection pane="bottomLeft" activeCell="A19" sqref="A19"/>
      <selection pane="bottomRight"/>
    </sheetView>
  </sheetViews>
  <sheetFormatPr baseColWidth="10" defaultColWidth="8.6640625" defaultRowHeight="14.4" x14ac:dyDescent="0.3"/>
  <cols>
    <col min="1" max="1" width="34" customWidth="1"/>
    <col min="2" max="2" width="22" customWidth="1"/>
    <col min="3" max="3" width="40" customWidth="1"/>
    <col min="4" max="4" width="14" customWidth="1"/>
    <col min="5" max="5" width="52" customWidth="1"/>
    <col min="6" max="6" width="16" customWidth="1"/>
    <col min="7" max="7" width="36" customWidth="1"/>
    <col min="8" max="8" width="16" customWidth="1"/>
    <col min="9" max="9" width="46" customWidth="1"/>
  </cols>
  <sheetData>
    <row r="1" spans="1:9" ht="33.75" customHeight="1" x14ac:dyDescent="0.3">
      <c r="A1" s="45" t="s">
        <v>856</v>
      </c>
      <c r="B1" s="45"/>
      <c r="C1" s="45"/>
      <c r="D1" s="45"/>
      <c r="E1" s="45"/>
      <c r="F1" s="45"/>
      <c r="G1" s="45"/>
      <c r="H1" s="45"/>
      <c r="I1" s="45"/>
    </row>
    <row r="2" spans="1:9" ht="15" customHeight="1" x14ac:dyDescent="0.3">
      <c r="A2" s="46" t="s">
        <v>857</v>
      </c>
      <c r="B2" s="46"/>
      <c r="C2" s="46"/>
      <c r="D2" s="46"/>
      <c r="E2" s="46"/>
      <c r="F2" s="46"/>
      <c r="G2" s="46"/>
      <c r="H2" s="46"/>
      <c r="I2" s="46"/>
    </row>
    <row r="4" spans="1:9" ht="15" customHeight="1" x14ac:dyDescent="0.3">
      <c r="A4" s="47" t="s">
        <v>149</v>
      </c>
      <c r="B4" s="47"/>
      <c r="C4" s="47"/>
      <c r="E4" s="47" t="s">
        <v>68</v>
      </c>
      <c r="F4" s="47"/>
      <c r="G4" s="47"/>
    </row>
    <row r="5" spans="1:9" ht="15" customHeight="1" x14ac:dyDescent="0.3">
      <c r="A5" s="4" t="s">
        <v>150</v>
      </c>
      <c r="B5" s="42"/>
      <c r="C5" s="42"/>
      <c r="E5" s="22" t="s">
        <v>69</v>
      </c>
      <c r="F5" s="38">
        <f>COUNTIF(A19:A58,"HE?_HU?_CA?_CP???")</f>
        <v>0</v>
      </c>
      <c r="G5" s="38"/>
    </row>
    <row r="6" spans="1:9" ht="15" customHeight="1" x14ac:dyDescent="0.3">
      <c r="A6" s="4" t="s">
        <v>152</v>
      </c>
      <c r="B6" s="42"/>
      <c r="C6" s="42"/>
      <c r="E6" s="22" t="s">
        <v>154</v>
      </c>
      <c r="F6" s="38">
        <f>COUNTIF(F19:F58,"OK")+COUNTIF(F19:F58,"NOK")</f>
        <v>0</v>
      </c>
      <c r="G6" s="38"/>
    </row>
    <row r="7" spans="1:9" ht="15" customHeight="1" x14ac:dyDescent="0.3">
      <c r="A7" s="4" t="s">
        <v>155</v>
      </c>
      <c r="B7" s="42"/>
      <c r="C7" s="42"/>
      <c r="E7" s="22" t="s">
        <v>157</v>
      </c>
      <c r="F7" s="38">
        <f>COUNTIF(F19:F58,"OK")</f>
        <v>0</v>
      </c>
      <c r="G7" s="38"/>
    </row>
    <row r="8" spans="1:9" ht="15" customHeight="1" x14ac:dyDescent="0.3">
      <c r="A8" s="4" t="s">
        <v>158</v>
      </c>
      <c r="B8" s="42"/>
      <c r="C8" s="42"/>
      <c r="E8" s="22" t="s">
        <v>159</v>
      </c>
      <c r="F8" s="38">
        <f>COUNTIF(F19:F58,"NOK")</f>
        <v>0</v>
      </c>
      <c r="G8" s="38"/>
    </row>
    <row r="9" spans="1:9" ht="15" customHeight="1" x14ac:dyDescent="0.3">
      <c r="A9" s="4" t="s">
        <v>160</v>
      </c>
      <c r="B9" s="42"/>
      <c r="C9" s="42"/>
      <c r="E9" s="22" t="s">
        <v>132</v>
      </c>
      <c r="F9" s="43" t="str">
        <f>IF(F6=0,"Sin ejecutados",F7/F6)</f>
        <v>Sin ejecutados</v>
      </c>
      <c r="G9" s="43"/>
    </row>
    <row r="10" spans="1:9" ht="15" customHeight="1" x14ac:dyDescent="0.3">
      <c r="A10" s="4" t="s">
        <v>161</v>
      </c>
      <c r="B10" s="42"/>
      <c r="C10" s="42"/>
      <c r="E10" s="22" t="s">
        <v>134</v>
      </c>
      <c r="F10" s="43" t="str">
        <f>IF(F6=0,"Sin ejecutados",F8/F6)</f>
        <v>Sin ejecutados</v>
      </c>
      <c r="G10" s="43"/>
    </row>
    <row r="11" spans="1:9" ht="15" customHeight="1" x14ac:dyDescent="0.3">
      <c r="A11" s="44" t="s">
        <v>163</v>
      </c>
      <c r="B11" s="44"/>
      <c r="C11" s="44"/>
      <c r="E11" s="22" t="s">
        <v>164</v>
      </c>
      <c r="F11" s="38">
        <f>F5-F6</f>
        <v>0</v>
      </c>
      <c r="G11" s="38"/>
    </row>
    <row r="12" spans="1:9" ht="15" customHeight="1" x14ac:dyDescent="0.3">
      <c r="A12" s="4" t="s">
        <v>858</v>
      </c>
      <c r="B12" s="37">
        <f>COUNTIF(A19:A58,"*_CA1_*")</f>
        <v>0</v>
      </c>
      <c r="C12" s="37"/>
      <c r="E12" s="22" t="s">
        <v>166</v>
      </c>
      <c r="F12" s="38">
        <f>COUNTIF(D19:D58,"Positivo*")</f>
        <v>0</v>
      </c>
      <c r="G12" s="38"/>
    </row>
    <row r="13" spans="1:9" ht="15" customHeight="1" x14ac:dyDescent="0.3">
      <c r="A13" s="4" t="s">
        <v>859</v>
      </c>
      <c r="B13" s="37">
        <f>COUNTIF(A19:A58,"*_CA2_*")</f>
        <v>0</v>
      </c>
      <c r="C13" s="37"/>
      <c r="E13" s="22" t="s">
        <v>168</v>
      </c>
      <c r="F13" s="38">
        <f>COUNTIF(D19:D58,"Negativo*")</f>
        <v>0</v>
      </c>
      <c r="G13" s="38"/>
    </row>
    <row r="14" spans="1:9" ht="15" customHeight="1" x14ac:dyDescent="0.3">
      <c r="A14" s="4" t="s">
        <v>860</v>
      </c>
      <c r="B14" s="37">
        <f>COUNTIF(A19:A58,"*_CA3_*")</f>
        <v>0</v>
      </c>
      <c r="C14" s="37"/>
      <c r="E14" s="22" t="s">
        <v>170</v>
      </c>
      <c r="F14" s="38">
        <f>COUNTIFS(F19:F58,"NOK",H19:H58,"Baja")</f>
        <v>0</v>
      </c>
      <c r="G14" s="38"/>
    </row>
    <row r="15" spans="1:9" ht="15" customHeight="1" x14ac:dyDescent="0.3">
      <c r="A15" s="23" t="s">
        <v>171</v>
      </c>
      <c r="B15" s="39">
        <f>COUNTIF(A19:A58,"*_CA4_*")</f>
        <v>0</v>
      </c>
      <c r="C15" s="39"/>
      <c r="E15" s="22" t="s">
        <v>172</v>
      </c>
      <c r="F15" s="38">
        <f>COUNTIFS(F19:F58,"NOK",H19:H58,"Media")</f>
        <v>0</v>
      </c>
      <c r="G15" s="38"/>
    </row>
    <row r="16" spans="1:9" ht="15" customHeight="1" x14ac:dyDescent="0.3">
      <c r="A16" s="24" t="s">
        <v>173</v>
      </c>
      <c r="B16" s="40">
        <f>SUM(B12:B15)</f>
        <v>0</v>
      </c>
      <c r="C16" s="40"/>
      <c r="E16" s="22" t="s">
        <v>174</v>
      </c>
      <c r="F16" s="38">
        <f>COUNTIFS(F19:F58,"NOK",H19:H58,"Alta")</f>
        <v>0</v>
      </c>
      <c r="G16" s="38"/>
    </row>
    <row r="17" spans="1:9" ht="15" customHeight="1" x14ac:dyDescent="0.3">
      <c r="A17" s="41" t="s">
        <v>175</v>
      </c>
      <c r="B17" s="41"/>
      <c r="C17" s="41"/>
      <c r="D17" s="41"/>
      <c r="E17" s="41"/>
      <c r="F17" s="41"/>
      <c r="G17" s="41"/>
      <c r="H17" s="41"/>
      <c r="I17" s="41"/>
    </row>
    <row r="18" spans="1:9" ht="33.75" customHeight="1" x14ac:dyDescent="0.3">
      <c r="A18" s="6" t="s">
        <v>16</v>
      </c>
      <c r="B18" s="6" t="s">
        <v>176</v>
      </c>
      <c r="C18" s="6" t="s">
        <v>177</v>
      </c>
      <c r="D18" s="6" t="s">
        <v>20</v>
      </c>
      <c r="E18" s="6" t="s">
        <v>22</v>
      </c>
      <c r="F18" s="6" t="s">
        <v>178</v>
      </c>
      <c r="G18" s="6" t="s">
        <v>179</v>
      </c>
      <c r="H18" s="6" t="s">
        <v>180</v>
      </c>
      <c r="I18" s="6" t="s">
        <v>24</v>
      </c>
    </row>
    <row r="19" spans="1:9" ht="18.75" customHeight="1" x14ac:dyDescent="0.3">
      <c r="A19" s="30"/>
      <c r="B19" s="25"/>
      <c r="C19" s="25"/>
      <c r="D19" s="29"/>
      <c r="E19" s="30"/>
      <c r="F19" s="31"/>
      <c r="G19" s="55"/>
      <c r="H19" s="31"/>
      <c r="I19" s="30"/>
    </row>
    <row r="20" spans="1:9" ht="18.75" customHeight="1" x14ac:dyDescent="0.3">
      <c r="A20" s="30"/>
      <c r="B20" s="25"/>
      <c r="C20" s="25"/>
      <c r="D20" s="29"/>
      <c r="E20" s="30"/>
      <c r="F20" s="31"/>
      <c r="G20" s="55"/>
      <c r="H20" s="31"/>
      <c r="I20" s="30"/>
    </row>
    <row r="21" spans="1:9" ht="18.75" customHeight="1" x14ac:dyDescent="0.3">
      <c r="A21" s="30"/>
      <c r="B21" s="25"/>
      <c r="C21" s="25"/>
      <c r="D21" s="29"/>
      <c r="E21" s="30"/>
      <c r="F21" s="31"/>
      <c r="G21" s="55"/>
      <c r="H21" s="31"/>
      <c r="I21" s="30"/>
    </row>
    <row r="22" spans="1:9" ht="18.75" customHeight="1" x14ac:dyDescent="0.3">
      <c r="A22" s="30"/>
      <c r="B22" s="25"/>
      <c r="C22" s="25"/>
      <c r="D22" s="29"/>
      <c r="E22" s="30"/>
      <c r="F22" s="31"/>
      <c r="G22" s="55"/>
      <c r="H22" s="31"/>
      <c r="I22" s="30"/>
    </row>
    <row r="23" spans="1:9" ht="18.75" customHeight="1" x14ac:dyDescent="0.3">
      <c r="A23" s="30"/>
      <c r="B23" s="25"/>
      <c r="C23" s="25"/>
      <c r="D23" s="29"/>
      <c r="E23" s="30"/>
      <c r="F23" s="31"/>
      <c r="G23" s="55"/>
      <c r="H23" s="31"/>
      <c r="I23" s="30"/>
    </row>
    <row r="24" spans="1:9" ht="18.75" customHeight="1" x14ac:dyDescent="0.3">
      <c r="A24" s="35"/>
      <c r="B24" s="26"/>
      <c r="C24" s="26"/>
      <c r="D24" s="34"/>
      <c r="E24" s="35"/>
      <c r="F24" s="31"/>
      <c r="G24" s="55"/>
      <c r="H24" s="31"/>
      <c r="I24" s="35"/>
    </row>
    <row r="25" spans="1:9" ht="18.75" customHeight="1" x14ac:dyDescent="0.3">
      <c r="A25" s="35"/>
      <c r="B25" s="26"/>
      <c r="C25" s="26"/>
      <c r="D25" s="34"/>
      <c r="E25" s="35"/>
      <c r="F25" s="31"/>
      <c r="G25" s="55"/>
      <c r="H25" s="31"/>
      <c r="I25" s="35"/>
    </row>
    <row r="26" spans="1:9" ht="18.75" customHeight="1" x14ac:dyDescent="0.3">
      <c r="A26" s="35"/>
      <c r="B26" s="26"/>
      <c r="C26" s="26"/>
      <c r="D26" s="34"/>
      <c r="E26" s="35"/>
      <c r="F26" s="31"/>
      <c r="G26" s="55"/>
      <c r="H26" s="31"/>
      <c r="I26" s="35"/>
    </row>
    <row r="27" spans="1:9" ht="18.75" customHeight="1" x14ac:dyDescent="0.3">
      <c r="A27" s="35"/>
      <c r="B27" s="26"/>
      <c r="C27" s="26"/>
      <c r="D27" s="34"/>
      <c r="E27" s="35"/>
      <c r="F27" s="31"/>
      <c r="G27" s="55"/>
      <c r="H27" s="31"/>
      <c r="I27" s="35"/>
    </row>
    <row r="28" spans="1:9" ht="18.75" customHeight="1" x14ac:dyDescent="0.3">
      <c r="A28" s="35"/>
      <c r="B28" s="26"/>
      <c r="C28" s="26"/>
      <c r="D28" s="34"/>
      <c r="E28" s="35"/>
      <c r="F28" s="31"/>
      <c r="G28" s="55"/>
      <c r="H28" s="31"/>
      <c r="I28" s="35"/>
    </row>
    <row r="29" spans="1:9" ht="18.75" customHeight="1" x14ac:dyDescent="0.3">
      <c r="A29" s="30"/>
      <c r="B29" s="25"/>
      <c r="C29" s="25"/>
      <c r="D29" s="29"/>
      <c r="E29" s="30"/>
      <c r="F29" s="31"/>
      <c r="G29" s="55"/>
      <c r="H29" s="31"/>
      <c r="I29" s="30"/>
    </row>
    <row r="30" spans="1:9" ht="18.75" customHeight="1" x14ac:dyDescent="0.3">
      <c r="A30" s="30"/>
      <c r="B30" s="25"/>
      <c r="C30" s="25"/>
      <c r="D30" s="29"/>
      <c r="E30" s="30"/>
      <c r="F30" s="31"/>
      <c r="G30" s="55"/>
      <c r="H30" s="31"/>
      <c r="I30" s="30"/>
    </row>
    <row r="31" spans="1:9" ht="18.75" customHeight="1" x14ac:dyDescent="0.3">
      <c r="A31" s="30"/>
      <c r="B31" s="25"/>
      <c r="C31" s="25"/>
      <c r="D31" s="29"/>
      <c r="E31" s="30"/>
      <c r="F31" s="31"/>
      <c r="G31" s="55"/>
      <c r="H31" s="31"/>
      <c r="I31" s="30"/>
    </row>
    <row r="32" spans="1:9" ht="18.75" customHeight="1" x14ac:dyDescent="0.3">
      <c r="A32" s="30"/>
      <c r="B32" s="25"/>
      <c r="C32" s="25"/>
      <c r="D32" s="29"/>
      <c r="E32" s="30"/>
      <c r="F32" s="31"/>
      <c r="G32" s="55"/>
      <c r="H32" s="31"/>
      <c r="I32" s="30"/>
    </row>
    <row r="33" spans="1:9" ht="18.75" customHeight="1" x14ac:dyDescent="0.3">
      <c r="A33" s="30"/>
      <c r="B33" s="25"/>
      <c r="C33" s="25"/>
      <c r="D33" s="29"/>
      <c r="E33" s="30"/>
      <c r="F33" s="31"/>
      <c r="G33" s="55"/>
      <c r="H33" s="31"/>
      <c r="I33" s="30"/>
    </row>
    <row r="34" spans="1:9" ht="18.75" customHeight="1" x14ac:dyDescent="0.3">
      <c r="A34" s="35"/>
      <c r="B34" s="26"/>
      <c r="C34" s="26"/>
      <c r="D34" s="34"/>
      <c r="E34" s="35"/>
      <c r="F34" s="31"/>
      <c r="G34" s="55"/>
      <c r="H34" s="31"/>
      <c r="I34" s="35"/>
    </row>
    <row r="35" spans="1:9" ht="18.75" customHeight="1" x14ac:dyDescent="0.3">
      <c r="A35" s="35"/>
      <c r="B35" s="26"/>
      <c r="C35" s="26"/>
      <c r="D35" s="34"/>
      <c r="E35" s="35"/>
      <c r="F35" s="31"/>
      <c r="G35" s="55"/>
      <c r="H35" s="31"/>
      <c r="I35" s="35"/>
    </row>
    <row r="36" spans="1:9" ht="18.75" customHeight="1" x14ac:dyDescent="0.3">
      <c r="A36" s="35"/>
      <c r="B36" s="26"/>
      <c r="C36" s="26"/>
      <c r="D36" s="34"/>
      <c r="E36" s="35"/>
      <c r="F36" s="31"/>
      <c r="G36" s="55"/>
      <c r="H36" s="31"/>
      <c r="I36" s="35"/>
    </row>
    <row r="37" spans="1:9" ht="18.75" customHeight="1" x14ac:dyDescent="0.3">
      <c r="A37" s="35"/>
      <c r="B37" s="26"/>
      <c r="C37" s="26"/>
      <c r="D37" s="34"/>
      <c r="E37" s="35"/>
      <c r="F37" s="31"/>
      <c r="G37" s="55"/>
      <c r="H37" s="31"/>
      <c r="I37" s="35"/>
    </row>
    <row r="38" spans="1:9" ht="18.75" customHeight="1" x14ac:dyDescent="0.3">
      <c r="A38" s="35"/>
      <c r="B38" s="26"/>
      <c r="C38" s="26"/>
      <c r="D38" s="34"/>
      <c r="E38" s="35"/>
      <c r="F38" s="31"/>
      <c r="G38" s="55"/>
      <c r="H38" s="31"/>
      <c r="I38" s="35"/>
    </row>
    <row r="39" spans="1:9" ht="18.75" customHeight="1" x14ac:dyDescent="0.3">
      <c r="A39" s="30"/>
      <c r="B39" s="25"/>
      <c r="C39" s="25"/>
      <c r="D39" s="29"/>
      <c r="E39" s="30"/>
      <c r="F39" s="31"/>
      <c r="G39" s="55"/>
      <c r="H39" s="31"/>
      <c r="I39" s="30"/>
    </row>
    <row r="40" spans="1:9" ht="18.75" customHeight="1" x14ac:dyDescent="0.3">
      <c r="A40" s="30"/>
      <c r="B40" s="25"/>
      <c r="C40" s="25"/>
      <c r="D40" s="29"/>
      <c r="E40" s="30"/>
      <c r="F40" s="31"/>
      <c r="G40" s="55"/>
      <c r="H40" s="31"/>
      <c r="I40" s="30"/>
    </row>
    <row r="41" spans="1:9" ht="18.75" customHeight="1" x14ac:dyDescent="0.3">
      <c r="A41" s="30"/>
      <c r="B41" s="25"/>
      <c r="C41" s="25"/>
      <c r="D41" s="29"/>
      <c r="E41" s="30"/>
      <c r="F41" s="31"/>
      <c r="G41" s="55"/>
      <c r="H41" s="31"/>
      <c r="I41" s="30"/>
    </row>
    <row r="42" spans="1:9" ht="18.75" customHeight="1" x14ac:dyDescent="0.3">
      <c r="A42" s="30"/>
      <c r="B42" s="25"/>
      <c r="C42" s="25"/>
      <c r="D42" s="29"/>
      <c r="E42" s="30"/>
      <c r="F42" s="31"/>
      <c r="G42" s="55"/>
      <c r="H42" s="31"/>
      <c r="I42" s="30"/>
    </row>
    <row r="43" spans="1:9" ht="18.75" customHeight="1" x14ac:dyDescent="0.3">
      <c r="A43" s="30"/>
      <c r="B43" s="25"/>
      <c r="C43" s="25"/>
      <c r="D43" s="29"/>
      <c r="E43" s="30"/>
      <c r="F43" s="31"/>
      <c r="G43" s="55"/>
      <c r="H43" s="31"/>
      <c r="I43" s="30"/>
    </row>
    <row r="44" spans="1:9" ht="18.75" customHeight="1" x14ac:dyDescent="0.3">
      <c r="A44" s="35"/>
      <c r="B44" s="26"/>
      <c r="C44" s="26"/>
      <c r="D44" s="34"/>
      <c r="E44" s="35"/>
      <c r="F44" s="31"/>
      <c r="G44" s="55"/>
      <c r="H44" s="31"/>
      <c r="I44" s="35"/>
    </row>
    <row r="45" spans="1:9" ht="18.75" customHeight="1" x14ac:dyDescent="0.3">
      <c r="A45" s="35"/>
      <c r="B45" s="26"/>
      <c r="C45" s="26"/>
      <c r="D45" s="34"/>
      <c r="E45" s="35"/>
      <c r="F45" s="31"/>
      <c r="G45" s="55"/>
      <c r="H45" s="31"/>
      <c r="I45" s="35"/>
    </row>
    <row r="46" spans="1:9" ht="18.75" customHeight="1" x14ac:dyDescent="0.3">
      <c r="A46" s="35"/>
      <c r="B46" s="26"/>
      <c r="C46" s="26"/>
      <c r="D46" s="34"/>
      <c r="E46" s="35"/>
      <c r="F46" s="31"/>
      <c r="G46" s="55"/>
      <c r="H46" s="31"/>
      <c r="I46" s="35"/>
    </row>
    <row r="47" spans="1:9" ht="18.75" customHeight="1" x14ac:dyDescent="0.3">
      <c r="A47" s="35"/>
      <c r="B47" s="26"/>
      <c r="C47" s="26"/>
      <c r="D47" s="34"/>
      <c r="E47" s="35"/>
      <c r="F47" s="31"/>
      <c r="G47" s="55"/>
      <c r="H47" s="31"/>
      <c r="I47" s="35"/>
    </row>
    <row r="48" spans="1:9" ht="18.75" customHeight="1" x14ac:dyDescent="0.3">
      <c r="A48" s="35"/>
      <c r="B48" s="26"/>
      <c r="C48" s="26"/>
      <c r="D48" s="34"/>
      <c r="E48" s="35"/>
      <c r="F48" s="31"/>
      <c r="G48" s="55"/>
      <c r="H48" s="31"/>
      <c r="I48" s="35"/>
    </row>
    <row r="49" spans="1:9" ht="18.75" customHeight="1" x14ac:dyDescent="0.3">
      <c r="A49" s="30"/>
      <c r="B49" s="25"/>
      <c r="C49" s="25"/>
      <c r="D49" s="29"/>
      <c r="E49" s="30"/>
      <c r="F49" s="31"/>
      <c r="G49" s="55"/>
      <c r="H49" s="31"/>
      <c r="I49" s="30"/>
    </row>
    <row r="50" spans="1:9" ht="18.75" customHeight="1" x14ac:dyDescent="0.3">
      <c r="A50" s="30"/>
      <c r="B50" s="25"/>
      <c r="C50" s="25"/>
      <c r="D50" s="29"/>
      <c r="E50" s="30"/>
      <c r="F50" s="31"/>
      <c r="G50" s="55"/>
      <c r="H50" s="31"/>
      <c r="I50" s="30"/>
    </row>
    <row r="51" spans="1:9" ht="18.75" customHeight="1" x14ac:dyDescent="0.3">
      <c r="A51" s="30"/>
      <c r="B51" s="25"/>
      <c r="C51" s="25"/>
      <c r="D51" s="29"/>
      <c r="E51" s="30"/>
      <c r="F51" s="31"/>
      <c r="G51" s="55"/>
      <c r="H51" s="31"/>
      <c r="I51" s="30"/>
    </row>
    <row r="52" spans="1:9" ht="18.75" customHeight="1" x14ac:dyDescent="0.3">
      <c r="A52" s="30"/>
      <c r="B52" s="25"/>
      <c r="C52" s="25"/>
      <c r="D52" s="29"/>
      <c r="E52" s="30"/>
      <c r="F52" s="31"/>
      <c r="G52" s="55"/>
      <c r="H52" s="31"/>
      <c r="I52" s="30"/>
    </row>
    <row r="53" spans="1:9" ht="18.75" customHeight="1" x14ac:dyDescent="0.3">
      <c r="A53" s="30"/>
      <c r="B53" s="25"/>
      <c r="C53" s="25"/>
      <c r="D53" s="29"/>
      <c r="E53" s="30"/>
      <c r="F53" s="31"/>
      <c r="G53" s="55"/>
      <c r="H53" s="31"/>
      <c r="I53" s="30"/>
    </row>
    <row r="54" spans="1:9" ht="18.75" customHeight="1" x14ac:dyDescent="0.3">
      <c r="A54" s="35"/>
      <c r="B54" s="26"/>
      <c r="C54" s="26"/>
      <c r="D54" s="34"/>
      <c r="E54" s="35"/>
      <c r="F54" s="31"/>
      <c r="G54" s="55"/>
      <c r="H54" s="31"/>
      <c r="I54" s="35"/>
    </row>
    <row r="55" spans="1:9" ht="18.75" customHeight="1" x14ac:dyDescent="0.3">
      <c r="A55" s="35"/>
      <c r="B55" s="26"/>
      <c r="C55" s="26"/>
      <c r="D55" s="34"/>
      <c r="E55" s="35"/>
      <c r="F55" s="31"/>
      <c r="G55" s="55"/>
      <c r="H55" s="31"/>
      <c r="I55" s="35"/>
    </row>
    <row r="56" spans="1:9" ht="18.75" customHeight="1" x14ac:dyDescent="0.3">
      <c r="A56" s="35"/>
      <c r="B56" s="26"/>
      <c r="C56" s="26"/>
      <c r="D56" s="34"/>
      <c r="E56" s="35"/>
      <c r="F56" s="31"/>
      <c r="G56" s="55"/>
      <c r="H56" s="31"/>
      <c r="I56" s="35"/>
    </row>
    <row r="57" spans="1:9" ht="18.75" customHeight="1" x14ac:dyDescent="0.3">
      <c r="A57" s="35"/>
      <c r="B57" s="26"/>
      <c r="C57" s="26"/>
      <c r="D57" s="34"/>
      <c r="E57" s="35"/>
      <c r="F57" s="31"/>
      <c r="G57" s="55"/>
      <c r="H57" s="31"/>
      <c r="I57" s="35"/>
    </row>
    <row r="58" spans="1:9" ht="18.75" customHeight="1" x14ac:dyDescent="0.3">
      <c r="A58" s="35"/>
      <c r="B58" s="26"/>
      <c r="C58" s="26"/>
      <c r="D58" s="34"/>
      <c r="E58" s="35"/>
      <c r="F58" s="31"/>
      <c r="G58" s="55"/>
      <c r="H58" s="31"/>
      <c r="I58" s="35"/>
    </row>
  </sheetData>
  <mergeCells count="85">
    <mergeCell ref="A1:I1"/>
    <mergeCell ref="A2:I2"/>
    <mergeCell ref="A4:C4"/>
    <mergeCell ref="E4:G4"/>
    <mergeCell ref="B5:C5"/>
    <mergeCell ref="F5:G5"/>
    <mergeCell ref="B6:C6"/>
    <mergeCell ref="F6:G6"/>
    <mergeCell ref="B7:C7"/>
    <mergeCell ref="F7:G7"/>
    <mergeCell ref="B8:C8"/>
    <mergeCell ref="F8:G8"/>
    <mergeCell ref="B9:C9"/>
    <mergeCell ref="F9:G9"/>
    <mergeCell ref="B10:C10"/>
    <mergeCell ref="F10:G10"/>
    <mergeCell ref="A11:C11"/>
    <mergeCell ref="F11:G11"/>
    <mergeCell ref="B12:C12"/>
    <mergeCell ref="F12:G12"/>
    <mergeCell ref="B13:C13"/>
    <mergeCell ref="F13:G13"/>
    <mergeCell ref="B14:C14"/>
    <mergeCell ref="F14:G14"/>
    <mergeCell ref="B15:C15"/>
    <mergeCell ref="F15:G15"/>
    <mergeCell ref="B16:C16"/>
    <mergeCell ref="F16:G16"/>
    <mergeCell ref="A17:I17"/>
    <mergeCell ref="H19:H23"/>
    <mergeCell ref="I19:I23"/>
    <mergeCell ref="A24:A28"/>
    <mergeCell ref="D24:D28"/>
    <mergeCell ref="E24:E28"/>
    <mergeCell ref="F24:F28"/>
    <mergeCell ref="G24:G28"/>
    <mergeCell ref="H24:H28"/>
    <mergeCell ref="I24:I28"/>
    <mergeCell ref="A19:A23"/>
    <mergeCell ref="D19:D23"/>
    <mergeCell ref="E19:E23"/>
    <mergeCell ref="F19:F23"/>
    <mergeCell ref="G19:G23"/>
    <mergeCell ref="H29:H33"/>
    <mergeCell ref="I29:I33"/>
    <mergeCell ref="A34:A38"/>
    <mergeCell ref="D34:D38"/>
    <mergeCell ref="E34:E38"/>
    <mergeCell ref="F34:F38"/>
    <mergeCell ref="G34:G38"/>
    <mergeCell ref="H34:H38"/>
    <mergeCell ref="I34:I38"/>
    <mergeCell ref="A29:A33"/>
    <mergeCell ref="D29:D33"/>
    <mergeCell ref="E29:E33"/>
    <mergeCell ref="F29:F33"/>
    <mergeCell ref="G29:G33"/>
    <mergeCell ref="H39:H43"/>
    <mergeCell ref="I39:I43"/>
    <mergeCell ref="A44:A48"/>
    <mergeCell ref="D44:D48"/>
    <mergeCell ref="E44:E48"/>
    <mergeCell ref="F44:F48"/>
    <mergeCell ref="G44:G48"/>
    <mergeCell ref="H44:H48"/>
    <mergeCell ref="I44:I48"/>
    <mergeCell ref="A39:A43"/>
    <mergeCell ref="D39:D43"/>
    <mergeCell ref="E39:E43"/>
    <mergeCell ref="F39:F43"/>
    <mergeCell ref="G39:G43"/>
    <mergeCell ref="H49:H53"/>
    <mergeCell ref="I49:I53"/>
    <mergeCell ref="A54:A58"/>
    <mergeCell ref="D54:D58"/>
    <mergeCell ref="E54:E58"/>
    <mergeCell ref="F54:F58"/>
    <mergeCell ref="G54:G58"/>
    <mergeCell ref="H54:H58"/>
    <mergeCell ref="I54:I58"/>
    <mergeCell ref="A49:A53"/>
    <mergeCell ref="D49:D53"/>
    <mergeCell ref="E49:E53"/>
    <mergeCell ref="F49:F53"/>
    <mergeCell ref="G49:G53"/>
  </mergeCells>
  <conditionalFormatting sqref="F19:F58">
    <cfRule type="cellIs" dxfId="1" priority="2" operator="equal">
      <formula>"OK"</formula>
    </cfRule>
    <cfRule type="cellIs" dxfId="0" priority="3" operator="equal">
      <formula>"NOK"</formula>
    </cfRule>
  </conditionalFormatting>
  <dataValidations count="4">
    <dataValidation type="list" allowBlank="1" sqref="B10" xr:uid="{00000000-0002-0000-0B00-000000000000}">
      <formula1>"Unitaria,Integración,Funcional,Aceptación,Regresión,No funcional"</formula1>
      <formula2>0</formula2>
    </dataValidation>
    <dataValidation type="list" allowBlank="1" sqref="D19:D58" xr:uid="{00000000-0002-0000-0B00-000001000000}">
      <formula1>"Positivo (+),Negativo (-)"</formula1>
      <formula2>0</formula2>
    </dataValidation>
    <dataValidation type="list" allowBlank="1" sqref="F19:F58" xr:uid="{00000000-0002-0000-0B00-000002000000}">
      <formula1>"OK,NOK"</formula1>
      <formula2>0</formula2>
    </dataValidation>
    <dataValidation type="list" allowBlank="1" sqref="H19:H58" xr:uid="{00000000-0002-0000-0B00-000003000000}">
      <formula1>"Baja,Media,Alta"</formula1>
      <formula2>0</formula2>
    </dataValidation>
  </dataValidations>
  <pageMargins left="0.75" right="0.75" top="1" bottom="1" header="0.511811023622047" footer="0.511811023622047"/>
  <pageSetup fitToHeight="0" orientation="landscape"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25"/>
  <sheetViews>
    <sheetView showGridLines="0" zoomScaleNormal="100" workbookViewId="0">
      <pane ySplit="3" topLeftCell="A4" activePane="bottomLeft" state="frozen"/>
      <selection pane="bottomLeft"/>
    </sheetView>
  </sheetViews>
  <sheetFormatPr baseColWidth="10" defaultColWidth="8.6640625" defaultRowHeight="14.4" x14ac:dyDescent="0.3"/>
  <cols>
    <col min="1" max="1" width="24" customWidth="1"/>
    <col min="2" max="2" width="16" customWidth="1"/>
    <col min="3" max="3" width="78" customWidth="1"/>
    <col min="4" max="4" width="62" customWidth="1"/>
    <col min="5" max="5" width="12" customWidth="1"/>
  </cols>
  <sheetData>
    <row r="1" spans="1:5" ht="30" customHeight="1" x14ac:dyDescent="0.3">
      <c r="A1" s="57" t="s">
        <v>861</v>
      </c>
      <c r="B1" s="57"/>
      <c r="C1" s="57"/>
      <c r="D1" s="57"/>
      <c r="E1" s="57"/>
    </row>
    <row r="2" spans="1:5" ht="31.5" customHeight="1" x14ac:dyDescent="0.3">
      <c r="A2" s="56" t="s">
        <v>862</v>
      </c>
      <c r="B2" s="56"/>
      <c r="C2" s="56"/>
      <c r="D2" s="56"/>
      <c r="E2" s="56"/>
    </row>
    <row r="4" spans="1:5" ht="15" customHeight="1" x14ac:dyDescent="0.3">
      <c r="A4" s="53" t="s">
        <v>863</v>
      </c>
      <c r="B4" s="53"/>
      <c r="C4" s="53"/>
      <c r="D4" s="53"/>
      <c r="E4" s="53"/>
    </row>
    <row r="5" spans="1:5" ht="15" customHeight="1" x14ac:dyDescent="0.3">
      <c r="A5" s="3" t="s">
        <v>864</v>
      </c>
      <c r="B5" s="3" t="s">
        <v>865</v>
      </c>
      <c r="C5" s="3" t="s">
        <v>866</v>
      </c>
      <c r="D5" s="54" t="s">
        <v>867</v>
      </c>
      <c r="E5" s="54"/>
    </row>
    <row r="6" spans="1:5" ht="31.5" customHeight="1" x14ac:dyDescent="0.3">
      <c r="A6" s="13" t="s">
        <v>868</v>
      </c>
      <c r="B6" s="13" t="s">
        <v>869</v>
      </c>
      <c r="C6" s="2" t="s">
        <v>870</v>
      </c>
      <c r="D6" s="51" t="s">
        <v>871</v>
      </c>
      <c r="E6" s="51"/>
    </row>
    <row r="7" spans="1:5" ht="31.5" customHeight="1" x14ac:dyDescent="0.3">
      <c r="A7" s="13" t="s">
        <v>872</v>
      </c>
      <c r="B7" s="13" t="s">
        <v>873</v>
      </c>
      <c r="C7" s="2" t="s">
        <v>874</v>
      </c>
      <c r="D7" s="51" t="s">
        <v>875</v>
      </c>
      <c r="E7" s="51"/>
    </row>
    <row r="8" spans="1:5" ht="31.5" customHeight="1" x14ac:dyDescent="0.3">
      <c r="A8" s="13" t="s">
        <v>876</v>
      </c>
      <c r="B8" s="13" t="s">
        <v>877</v>
      </c>
      <c r="C8" s="2" t="s">
        <v>878</v>
      </c>
      <c r="D8" s="51" t="s">
        <v>879</v>
      </c>
      <c r="E8" s="51"/>
    </row>
    <row r="9" spans="1:5" ht="31.5" customHeight="1" x14ac:dyDescent="0.3">
      <c r="A9" s="13" t="s">
        <v>880</v>
      </c>
      <c r="B9" s="13" t="s">
        <v>881</v>
      </c>
      <c r="C9" s="2" t="s">
        <v>882</v>
      </c>
      <c r="D9" s="51" t="s">
        <v>883</v>
      </c>
      <c r="E9" s="51"/>
    </row>
    <row r="10" spans="1:5" ht="31.5" customHeight="1" x14ac:dyDescent="0.3">
      <c r="A10" s="13" t="s">
        <v>884</v>
      </c>
      <c r="B10" s="13" t="s">
        <v>885</v>
      </c>
      <c r="C10" s="2" t="s">
        <v>886</v>
      </c>
      <c r="D10" s="51" t="s">
        <v>887</v>
      </c>
      <c r="E10" s="51"/>
    </row>
    <row r="11" spans="1:5" ht="45" customHeight="1" x14ac:dyDescent="0.3">
      <c r="A11" s="13" t="s">
        <v>888</v>
      </c>
      <c r="B11" s="13" t="s">
        <v>2</v>
      </c>
      <c r="C11" s="2" t="s">
        <v>889</v>
      </c>
      <c r="D11" s="51" t="s">
        <v>890</v>
      </c>
      <c r="E11" s="51"/>
    </row>
    <row r="12" spans="1:5" ht="45" customHeight="1" x14ac:dyDescent="0.3">
      <c r="A12" s="13" t="s">
        <v>891</v>
      </c>
      <c r="B12" s="13" t="s">
        <v>892</v>
      </c>
      <c r="C12" s="2" t="s">
        <v>893</v>
      </c>
      <c r="D12" s="51" t="s">
        <v>894</v>
      </c>
      <c r="E12" s="51"/>
    </row>
    <row r="13" spans="1:5" ht="31.5" customHeight="1" x14ac:dyDescent="0.3">
      <c r="A13" s="13" t="s">
        <v>895</v>
      </c>
      <c r="B13" s="13" t="s">
        <v>896</v>
      </c>
      <c r="C13" s="2" t="s">
        <v>897</v>
      </c>
      <c r="D13" s="51" t="s">
        <v>898</v>
      </c>
      <c r="E13" s="51"/>
    </row>
    <row r="14" spans="1:5" ht="31.5" customHeight="1" x14ac:dyDescent="0.3">
      <c r="A14" s="13" t="s">
        <v>899</v>
      </c>
      <c r="B14" s="13" t="s">
        <v>900</v>
      </c>
      <c r="C14" s="2" t="s">
        <v>901</v>
      </c>
      <c r="D14" s="51" t="s">
        <v>902</v>
      </c>
      <c r="E14" s="51"/>
    </row>
    <row r="15" spans="1:5" ht="31.5" customHeight="1" x14ac:dyDescent="0.3">
      <c r="A15" s="13" t="s">
        <v>903</v>
      </c>
      <c r="B15" s="13" t="s">
        <v>904</v>
      </c>
      <c r="C15" s="2" t="s">
        <v>905</v>
      </c>
      <c r="D15" s="51" t="s">
        <v>906</v>
      </c>
      <c r="E15" s="51"/>
    </row>
    <row r="16" spans="1:5" ht="31.5" customHeight="1" x14ac:dyDescent="0.3">
      <c r="A16" s="13" t="s">
        <v>907</v>
      </c>
      <c r="B16" s="13" t="s">
        <v>908</v>
      </c>
      <c r="C16" s="2" t="s">
        <v>909</v>
      </c>
      <c r="D16" s="51" t="s">
        <v>910</v>
      </c>
      <c r="E16" s="51"/>
    </row>
    <row r="17" spans="1:5" ht="31.5" customHeight="1" x14ac:dyDescent="0.3">
      <c r="A17" s="13" t="s">
        <v>911</v>
      </c>
      <c r="B17" s="13" t="s">
        <v>912</v>
      </c>
      <c r="C17" s="2" t="s">
        <v>913</v>
      </c>
      <c r="D17" s="51" t="s">
        <v>914</v>
      </c>
      <c r="E17" s="51"/>
    </row>
    <row r="18" spans="1:5" ht="45" customHeight="1" x14ac:dyDescent="0.3">
      <c r="A18" s="13" t="s">
        <v>915</v>
      </c>
      <c r="B18" s="13" t="s">
        <v>916</v>
      </c>
      <c r="C18" s="2" t="s">
        <v>917</v>
      </c>
      <c r="D18" s="51" t="s">
        <v>918</v>
      </c>
      <c r="E18" s="51"/>
    </row>
    <row r="19" spans="1:5" ht="31.5" customHeight="1" x14ac:dyDescent="0.3">
      <c r="A19" s="13" t="s">
        <v>919</v>
      </c>
      <c r="B19" s="13" t="s">
        <v>920</v>
      </c>
      <c r="C19" s="2" t="s">
        <v>921</v>
      </c>
      <c r="D19" s="51" t="s">
        <v>922</v>
      </c>
      <c r="E19" s="51"/>
    </row>
    <row r="20" spans="1:5" ht="31.5" customHeight="1" x14ac:dyDescent="0.3">
      <c r="A20" s="13" t="s">
        <v>923</v>
      </c>
      <c r="B20" s="13" t="s">
        <v>924</v>
      </c>
      <c r="C20" s="2" t="s">
        <v>925</v>
      </c>
      <c r="D20" s="51" t="s">
        <v>926</v>
      </c>
      <c r="E20" s="51"/>
    </row>
    <row r="21" spans="1:5" ht="31.5" customHeight="1" x14ac:dyDescent="0.3">
      <c r="A21" s="13" t="s">
        <v>927</v>
      </c>
      <c r="B21" s="13" t="s">
        <v>928</v>
      </c>
      <c r="C21" s="2" t="s">
        <v>929</v>
      </c>
      <c r="D21" s="51" t="s">
        <v>930</v>
      </c>
      <c r="E21" s="51"/>
    </row>
    <row r="23" spans="1:5" ht="15" customHeight="1" x14ac:dyDescent="0.3">
      <c r="A23" s="53" t="s">
        <v>931</v>
      </c>
      <c r="B23" s="53"/>
      <c r="C23" s="53"/>
      <c r="D23" s="53"/>
      <c r="E23" s="53"/>
    </row>
    <row r="24" spans="1:5" ht="15" customHeight="1" x14ac:dyDescent="0.3">
      <c r="A24" s="3" t="s">
        <v>78</v>
      </c>
      <c r="B24" s="3" t="s">
        <v>932</v>
      </c>
      <c r="C24" s="3" t="s">
        <v>933</v>
      </c>
      <c r="D24" s="54" t="s">
        <v>934</v>
      </c>
      <c r="E24" s="54"/>
    </row>
    <row r="25" spans="1:5" ht="45" customHeight="1" x14ac:dyDescent="0.3">
      <c r="A25" s="13" t="s">
        <v>89</v>
      </c>
      <c r="B25" s="13" t="s">
        <v>935</v>
      </c>
      <c r="C25" s="2" t="s">
        <v>936</v>
      </c>
      <c r="D25" s="51" t="s">
        <v>937</v>
      </c>
      <c r="E25" s="51"/>
    </row>
    <row r="26" spans="1:5" ht="45" customHeight="1" x14ac:dyDescent="0.3">
      <c r="A26" s="13" t="s">
        <v>92</v>
      </c>
      <c r="B26" s="13" t="s">
        <v>935</v>
      </c>
      <c r="C26" s="2" t="s">
        <v>938</v>
      </c>
      <c r="D26" s="51" t="s">
        <v>937</v>
      </c>
      <c r="E26" s="51"/>
    </row>
    <row r="27" spans="1:5" ht="45" customHeight="1" x14ac:dyDescent="0.3">
      <c r="A27" s="13" t="s">
        <v>94</v>
      </c>
      <c r="B27" s="13" t="s">
        <v>935</v>
      </c>
      <c r="C27" s="2" t="s">
        <v>939</v>
      </c>
      <c r="D27" s="51" t="s">
        <v>937</v>
      </c>
      <c r="E27" s="51"/>
    </row>
    <row r="28" spans="1:5" ht="45" customHeight="1" x14ac:dyDescent="0.3">
      <c r="A28" s="13" t="s">
        <v>96</v>
      </c>
      <c r="B28" s="13" t="s">
        <v>935</v>
      </c>
      <c r="C28" s="2" t="s">
        <v>940</v>
      </c>
      <c r="D28" s="51" t="s">
        <v>937</v>
      </c>
      <c r="E28" s="51"/>
    </row>
    <row r="29" spans="1:5" ht="45" customHeight="1" x14ac:dyDescent="0.3">
      <c r="A29" s="13" t="s">
        <v>98</v>
      </c>
      <c r="B29" s="13" t="s">
        <v>935</v>
      </c>
      <c r="C29" s="2" t="s">
        <v>941</v>
      </c>
      <c r="D29" s="51" t="s">
        <v>937</v>
      </c>
      <c r="E29" s="51"/>
    </row>
    <row r="30" spans="1:5" ht="45" customHeight="1" x14ac:dyDescent="0.3">
      <c r="A30" s="13" t="s">
        <v>101</v>
      </c>
      <c r="B30" s="13" t="s">
        <v>935</v>
      </c>
      <c r="C30" s="2" t="s">
        <v>939</v>
      </c>
      <c r="D30" s="51" t="s">
        <v>937</v>
      </c>
      <c r="E30" s="51"/>
    </row>
    <row r="31" spans="1:5" ht="45" customHeight="1" x14ac:dyDescent="0.3">
      <c r="A31" s="13" t="s">
        <v>103</v>
      </c>
      <c r="B31" s="13" t="s">
        <v>935</v>
      </c>
      <c r="C31" s="2" t="s">
        <v>939</v>
      </c>
      <c r="D31" s="51" t="s">
        <v>937</v>
      </c>
      <c r="E31" s="51"/>
    </row>
    <row r="32" spans="1:5" ht="31.5" customHeight="1" x14ac:dyDescent="0.3">
      <c r="A32" s="13" t="s">
        <v>105</v>
      </c>
      <c r="B32" s="13" t="s">
        <v>942</v>
      </c>
      <c r="C32" s="2" t="s">
        <v>943</v>
      </c>
      <c r="D32" s="51" t="s">
        <v>944</v>
      </c>
      <c r="E32" s="51"/>
    </row>
    <row r="34" spans="1:5" ht="15" customHeight="1" x14ac:dyDescent="0.3">
      <c r="A34" s="53" t="s">
        <v>945</v>
      </c>
      <c r="B34" s="53"/>
      <c r="C34" s="53"/>
      <c r="D34" s="53"/>
      <c r="E34" s="53"/>
    </row>
    <row r="35" spans="1:5" ht="15" customHeight="1" x14ac:dyDescent="0.3">
      <c r="A35" s="3" t="s">
        <v>864</v>
      </c>
      <c r="B35" s="3" t="s">
        <v>946</v>
      </c>
      <c r="C35" s="3" t="s">
        <v>947</v>
      </c>
      <c r="D35" s="54" t="s">
        <v>948</v>
      </c>
      <c r="E35" s="54"/>
    </row>
    <row r="36" spans="1:5" ht="31.5" customHeight="1" x14ac:dyDescent="0.3">
      <c r="A36" s="13" t="s">
        <v>949</v>
      </c>
      <c r="B36" s="13" t="s">
        <v>278</v>
      </c>
      <c r="C36" s="2" t="s">
        <v>950</v>
      </c>
      <c r="D36" s="51" t="s">
        <v>951</v>
      </c>
      <c r="E36" s="51"/>
    </row>
    <row r="37" spans="1:5" ht="31.5" customHeight="1" x14ac:dyDescent="0.3">
      <c r="A37" s="13" t="s">
        <v>952</v>
      </c>
      <c r="B37" s="13" t="s">
        <v>270</v>
      </c>
      <c r="C37" s="2" t="s">
        <v>953</v>
      </c>
      <c r="D37" s="51" t="s">
        <v>954</v>
      </c>
      <c r="E37" s="51"/>
    </row>
    <row r="38" spans="1:5" ht="31.5" customHeight="1" x14ac:dyDescent="0.3">
      <c r="A38" s="13" t="s">
        <v>955</v>
      </c>
      <c r="B38" s="13" t="s">
        <v>296</v>
      </c>
      <c r="C38" s="2" t="s">
        <v>956</v>
      </c>
      <c r="D38" s="51" t="s">
        <v>957</v>
      </c>
      <c r="E38" s="51"/>
    </row>
    <row r="39" spans="1:5" ht="31.5" customHeight="1" x14ac:dyDescent="0.3">
      <c r="A39" s="13" t="s">
        <v>958</v>
      </c>
      <c r="B39" s="13" t="s">
        <v>459</v>
      </c>
      <c r="C39" s="2" t="s">
        <v>959</v>
      </c>
      <c r="D39" s="51" t="s">
        <v>960</v>
      </c>
      <c r="E39" s="51"/>
    </row>
    <row r="40" spans="1:5" ht="31.5" customHeight="1" x14ac:dyDescent="0.3">
      <c r="A40" s="13" t="s">
        <v>961</v>
      </c>
      <c r="B40" s="13" t="s">
        <v>523</v>
      </c>
      <c r="C40" s="2" t="s">
        <v>962</v>
      </c>
      <c r="D40" s="51" t="s">
        <v>963</v>
      </c>
      <c r="E40" s="51"/>
    </row>
    <row r="41" spans="1:5" ht="31.5" customHeight="1" x14ac:dyDescent="0.3">
      <c r="A41" s="13" t="s">
        <v>964</v>
      </c>
      <c r="B41" s="13" t="s">
        <v>617</v>
      </c>
      <c r="C41" s="2" t="s">
        <v>965</v>
      </c>
      <c r="D41" s="51" t="s">
        <v>966</v>
      </c>
      <c r="E41" s="51"/>
    </row>
    <row r="42" spans="1:5" ht="31.5" customHeight="1" x14ac:dyDescent="0.3">
      <c r="A42" s="13" t="s">
        <v>967</v>
      </c>
      <c r="B42" s="13" t="s">
        <v>705</v>
      </c>
      <c r="C42" s="2" t="s">
        <v>968</v>
      </c>
      <c r="D42" s="51" t="s">
        <v>969</v>
      </c>
      <c r="E42" s="51"/>
    </row>
    <row r="43" spans="1:5" ht="31.5" customHeight="1" x14ac:dyDescent="0.3">
      <c r="A43" s="13" t="s">
        <v>970</v>
      </c>
      <c r="B43" s="13" t="s">
        <v>699</v>
      </c>
      <c r="C43" s="2" t="s">
        <v>971</v>
      </c>
      <c r="D43" s="51" t="s">
        <v>972</v>
      </c>
      <c r="E43" s="51"/>
    </row>
    <row r="44" spans="1:5" ht="31.5" customHeight="1" x14ac:dyDescent="0.3">
      <c r="A44" s="13" t="s">
        <v>973</v>
      </c>
      <c r="B44" s="13" t="s">
        <v>774</v>
      </c>
      <c r="C44" s="2" t="s">
        <v>974</v>
      </c>
      <c r="D44" s="51" t="s">
        <v>975</v>
      </c>
      <c r="E44" s="51"/>
    </row>
    <row r="45" spans="1:5" ht="31.5" customHeight="1" x14ac:dyDescent="0.3">
      <c r="A45" s="13" t="s">
        <v>976</v>
      </c>
      <c r="B45" s="13" t="s">
        <v>766</v>
      </c>
      <c r="C45" s="2" t="s">
        <v>977</v>
      </c>
      <c r="D45" s="51" t="s">
        <v>978</v>
      </c>
      <c r="E45" s="51"/>
    </row>
    <row r="46" spans="1:5" ht="31.5" customHeight="1" x14ac:dyDescent="0.3">
      <c r="A46" s="13" t="s">
        <v>979</v>
      </c>
      <c r="B46" s="13" t="s">
        <v>840</v>
      </c>
      <c r="C46" s="2" t="s">
        <v>980</v>
      </c>
      <c r="D46" s="51" t="s">
        <v>981</v>
      </c>
      <c r="E46" s="51"/>
    </row>
    <row r="47" spans="1:5" ht="31.5" customHeight="1" x14ac:dyDescent="0.3">
      <c r="A47" s="13" t="s">
        <v>982</v>
      </c>
      <c r="B47" s="13" t="s">
        <v>983</v>
      </c>
      <c r="C47" s="2" t="s">
        <v>984</v>
      </c>
      <c r="D47" s="51" t="s">
        <v>985</v>
      </c>
      <c r="E47" s="51"/>
    </row>
    <row r="48" spans="1:5" ht="31.5" customHeight="1" x14ac:dyDescent="0.3">
      <c r="A48" s="13" t="s">
        <v>986</v>
      </c>
      <c r="B48" s="13" t="s">
        <v>319</v>
      </c>
      <c r="C48" s="2" t="s">
        <v>987</v>
      </c>
      <c r="D48" s="51" t="s">
        <v>988</v>
      </c>
      <c r="E48" s="51"/>
    </row>
    <row r="49" spans="1:5" ht="18.75" customHeight="1" x14ac:dyDescent="0.3">
      <c r="A49" s="13" t="s">
        <v>989</v>
      </c>
      <c r="B49" s="13" t="s">
        <v>990</v>
      </c>
      <c r="C49" s="2" t="s">
        <v>991</v>
      </c>
      <c r="D49" s="51" t="s">
        <v>992</v>
      </c>
      <c r="E49" s="51"/>
    </row>
    <row r="51" spans="1:5" ht="15" customHeight="1" x14ac:dyDescent="0.3">
      <c r="A51" s="53" t="s">
        <v>993</v>
      </c>
      <c r="B51" s="53"/>
      <c r="C51" s="53"/>
      <c r="D51" s="53"/>
      <c r="E51" s="53"/>
    </row>
    <row r="52" spans="1:5" ht="15" customHeight="1" x14ac:dyDescent="0.3">
      <c r="A52" s="3" t="s">
        <v>994</v>
      </c>
      <c r="B52" s="3" t="s">
        <v>155</v>
      </c>
      <c r="C52" s="3" t="s">
        <v>995</v>
      </c>
      <c r="D52" s="54" t="s">
        <v>996</v>
      </c>
      <c r="E52" s="54"/>
    </row>
    <row r="53" spans="1:5" ht="45" customHeight="1" x14ac:dyDescent="0.3">
      <c r="A53" s="13" t="s">
        <v>997</v>
      </c>
      <c r="B53" s="13" t="s">
        <v>998</v>
      </c>
      <c r="C53" s="2" t="s">
        <v>999</v>
      </c>
      <c r="D53" s="51" t="s">
        <v>1000</v>
      </c>
      <c r="E53" s="51"/>
    </row>
    <row r="54" spans="1:5" ht="31.5" customHeight="1" x14ac:dyDescent="0.3">
      <c r="A54" s="13" t="s">
        <v>1001</v>
      </c>
      <c r="B54" s="13" t="s">
        <v>1002</v>
      </c>
      <c r="C54" s="2" t="s">
        <v>1003</v>
      </c>
      <c r="D54" s="51" t="s">
        <v>1004</v>
      </c>
      <c r="E54" s="51"/>
    </row>
    <row r="55" spans="1:5" ht="31.5" customHeight="1" x14ac:dyDescent="0.3">
      <c r="A55" s="13" t="s">
        <v>1005</v>
      </c>
      <c r="B55" s="13" t="s">
        <v>1006</v>
      </c>
      <c r="C55" s="2" t="s">
        <v>1007</v>
      </c>
      <c r="D55" s="51" t="s">
        <v>1008</v>
      </c>
      <c r="E55" s="51"/>
    </row>
    <row r="56" spans="1:5" ht="31.5" customHeight="1" x14ac:dyDescent="0.3">
      <c r="A56" s="13" t="s">
        <v>1009</v>
      </c>
      <c r="B56" s="13" t="s">
        <v>98</v>
      </c>
      <c r="C56" s="2" t="s">
        <v>1010</v>
      </c>
      <c r="D56" s="51" t="s">
        <v>1004</v>
      </c>
      <c r="E56" s="51"/>
    </row>
    <row r="58" spans="1:5" ht="15" customHeight="1" x14ac:dyDescent="0.3">
      <c r="A58" s="53" t="s">
        <v>1011</v>
      </c>
      <c r="B58" s="53"/>
      <c r="C58" s="53"/>
      <c r="D58" s="53"/>
      <c r="E58" s="53"/>
    </row>
    <row r="59" spans="1:5" ht="23.85" customHeight="1" x14ac:dyDescent="0.3">
      <c r="A59" s="3" t="s">
        <v>16</v>
      </c>
      <c r="B59" s="3" t="s">
        <v>1012</v>
      </c>
      <c r="C59" s="3" t="s">
        <v>1013</v>
      </c>
      <c r="D59" s="54" t="s">
        <v>1014</v>
      </c>
      <c r="E59" s="54"/>
    </row>
    <row r="60" spans="1:5" ht="18.75" customHeight="1" x14ac:dyDescent="0.3">
      <c r="A60" s="13" t="s">
        <v>270</v>
      </c>
      <c r="B60" s="13" t="s">
        <v>64</v>
      </c>
      <c r="C60" s="2" t="s">
        <v>1015</v>
      </c>
      <c r="D60" s="51" t="s">
        <v>89</v>
      </c>
      <c r="E60" s="51"/>
    </row>
    <row r="61" spans="1:5" ht="18.75" customHeight="1" x14ac:dyDescent="0.3">
      <c r="A61" s="13" t="s">
        <v>278</v>
      </c>
      <c r="B61" s="13" t="s">
        <v>60</v>
      </c>
      <c r="C61" s="2" t="s">
        <v>1016</v>
      </c>
      <c r="D61" s="51" t="s">
        <v>89</v>
      </c>
      <c r="E61" s="51"/>
    </row>
    <row r="62" spans="1:5" ht="18.75" customHeight="1" x14ac:dyDescent="0.3">
      <c r="A62" s="13" t="s">
        <v>286</v>
      </c>
      <c r="B62" s="13" t="s">
        <v>64</v>
      </c>
      <c r="C62" s="2" t="s">
        <v>1017</v>
      </c>
      <c r="D62" s="51" t="s">
        <v>89</v>
      </c>
      <c r="E62" s="51"/>
    </row>
    <row r="63" spans="1:5" ht="18.75" customHeight="1" x14ac:dyDescent="0.3">
      <c r="A63" s="13" t="s">
        <v>296</v>
      </c>
      <c r="B63" s="13" t="s">
        <v>62</v>
      </c>
      <c r="C63" s="2" t="s">
        <v>1018</v>
      </c>
      <c r="D63" s="51" t="s">
        <v>89</v>
      </c>
      <c r="E63" s="51"/>
    </row>
    <row r="64" spans="1:5" ht="18.75" customHeight="1" x14ac:dyDescent="0.3">
      <c r="A64" s="13" t="s">
        <v>305</v>
      </c>
      <c r="B64" s="13" t="s">
        <v>64</v>
      </c>
      <c r="C64" s="2" t="s">
        <v>1019</v>
      </c>
      <c r="D64" s="51" t="s">
        <v>89</v>
      </c>
      <c r="E64" s="51"/>
    </row>
    <row r="65" spans="1:5" ht="18.75" customHeight="1" x14ac:dyDescent="0.3">
      <c r="A65" s="13" t="s">
        <v>311</v>
      </c>
      <c r="B65" s="13" t="s">
        <v>62</v>
      </c>
      <c r="C65" s="2" t="s">
        <v>1020</v>
      </c>
      <c r="D65" s="51" t="s">
        <v>89</v>
      </c>
      <c r="E65" s="51"/>
    </row>
    <row r="66" spans="1:5" ht="18.75" customHeight="1" x14ac:dyDescent="0.3">
      <c r="A66" s="13" t="s">
        <v>319</v>
      </c>
      <c r="B66" s="13" t="s">
        <v>62</v>
      </c>
      <c r="C66" s="2" t="s">
        <v>1021</v>
      </c>
      <c r="D66" s="51" t="s">
        <v>89</v>
      </c>
      <c r="E66" s="51"/>
    </row>
    <row r="67" spans="1:5" ht="18.75" customHeight="1" x14ac:dyDescent="0.3">
      <c r="A67" s="13" t="s">
        <v>327</v>
      </c>
      <c r="B67" s="13" t="s">
        <v>64</v>
      </c>
      <c r="C67" s="2" t="s">
        <v>1022</v>
      </c>
      <c r="D67" s="51" t="s">
        <v>89</v>
      </c>
      <c r="E67" s="51"/>
    </row>
    <row r="68" spans="1:5" ht="18.75" customHeight="1" x14ac:dyDescent="0.3">
      <c r="A68" s="13" t="s">
        <v>333</v>
      </c>
      <c r="B68" s="13" t="s">
        <v>62</v>
      </c>
      <c r="C68" s="2" t="s">
        <v>1023</v>
      </c>
      <c r="D68" s="51" t="s">
        <v>89</v>
      </c>
      <c r="E68" s="51"/>
    </row>
    <row r="69" spans="1:5" ht="18.75" customHeight="1" x14ac:dyDescent="0.3">
      <c r="A69" s="13" t="s">
        <v>385</v>
      </c>
      <c r="B69" s="13" t="s">
        <v>64</v>
      </c>
      <c r="C69" s="2" t="s">
        <v>1024</v>
      </c>
      <c r="D69" s="51" t="s">
        <v>92</v>
      </c>
      <c r="E69" s="51"/>
    </row>
    <row r="70" spans="1:5" ht="18.75" customHeight="1" x14ac:dyDescent="0.3">
      <c r="A70" s="13" t="s">
        <v>397</v>
      </c>
      <c r="B70" s="13" t="s">
        <v>60</v>
      </c>
      <c r="C70" s="2" t="s">
        <v>1025</v>
      </c>
      <c r="D70" s="51" t="s">
        <v>92</v>
      </c>
      <c r="E70" s="51"/>
    </row>
    <row r="71" spans="1:5" ht="18.75" customHeight="1" x14ac:dyDescent="0.3">
      <c r="A71" s="13" t="s">
        <v>403</v>
      </c>
      <c r="B71" s="13" t="s">
        <v>62</v>
      </c>
      <c r="C71" s="2" t="s">
        <v>1026</v>
      </c>
      <c r="D71" s="51" t="s">
        <v>92</v>
      </c>
      <c r="E71" s="51"/>
    </row>
    <row r="72" spans="1:5" ht="18.75" customHeight="1" x14ac:dyDescent="0.3">
      <c r="A72" s="13" t="s">
        <v>413</v>
      </c>
      <c r="B72" s="13" t="s">
        <v>62</v>
      </c>
      <c r="C72" s="2" t="s">
        <v>1027</v>
      </c>
      <c r="D72" s="51" t="s">
        <v>92</v>
      </c>
      <c r="E72" s="51"/>
    </row>
    <row r="73" spans="1:5" ht="18.75" customHeight="1" x14ac:dyDescent="0.3">
      <c r="A73" s="13" t="s">
        <v>419</v>
      </c>
      <c r="B73" s="13" t="s">
        <v>64</v>
      </c>
      <c r="C73" s="2" t="s">
        <v>1028</v>
      </c>
      <c r="D73" s="51" t="s">
        <v>92</v>
      </c>
      <c r="E73" s="51"/>
    </row>
    <row r="74" spans="1:5" ht="18.75" customHeight="1" x14ac:dyDescent="0.3">
      <c r="A74" s="13" t="s">
        <v>459</v>
      </c>
      <c r="B74" s="13" t="s">
        <v>60</v>
      </c>
      <c r="C74" s="2" t="s">
        <v>1029</v>
      </c>
      <c r="D74" s="51" t="s">
        <v>94</v>
      </c>
      <c r="E74" s="51"/>
    </row>
    <row r="75" spans="1:5" ht="18.75" customHeight="1" x14ac:dyDescent="0.3">
      <c r="A75" s="13" t="s">
        <v>465</v>
      </c>
      <c r="B75" s="13" t="s">
        <v>64</v>
      </c>
      <c r="C75" s="2" t="s">
        <v>1030</v>
      </c>
      <c r="D75" s="51" t="s">
        <v>94</v>
      </c>
      <c r="E75" s="51"/>
    </row>
    <row r="76" spans="1:5" ht="18.75" customHeight="1" x14ac:dyDescent="0.3">
      <c r="A76" s="13" t="s">
        <v>470</v>
      </c>
      <c r="B76" s="13" t="s">
        <v>62</v>
      </c>
      <c r="C76" s="2" t="s">
        <v>1031</v>
      </c>
      <c r="D76" s="51" t="s">
        <v>94</v>
      </c>
      <c r="E76" s="51"/>
    </row>
    <row r="77" spans="1:5" ht="18.75" customHeight="1" x14ac:dyDescent="0.3">
      <c r="A77" s="13" t="s">
        <v>475</v>
      </c>
      <c r="B77" s="13" t="s">
        <v>64</v>
      </c>
      <c r="C77" s="2" t="s">
        <v>1032</v>
      </c>
      <c r="D77" s="51" t="s">
        <v>94</v>
      </c>
      <c r="E77" s="51"/>
    </row>
    <row r="78" spans="1:5" ht="18.75" customHeight="1" x14ac:dyDescent="0.3">
      <c r="A78" s="13" t="s">
        <v>481</v>
      </c>
      <c r="B78" s="13" t="s">
        <v>60</v>
      </c>
      <c r="C78" s="2" t="s">
        <v>1033</v>
      </c>
      <c r="D78" s="51" t="s">
        <v>94</v>
      </c>
      <c r="E78" s="51"/>
    </row>
    <row r="79" spans="1:5" ht="18.75" customHeight="1" x14ac:dyDescent="0.3">
      <c r="A79" s="13" t="s">
        <v>523</v>
      </c>
      <c r="B79" s="13" t="s">
        <v>62</v>
      </c>
      <c r="C79" s="2" t="s">
        <v>1034</v>
      </c>
      <c r="D79" s="51" t="s">
        <v>96</v>
      </c>
      <c r="E79" s="51"/>
    </row>
    <row r="80" spans="1:5" ht="18.75" customHeight="1" x14ac:dyDescent="0.3">
      <c r="A80" s="13" t="s">
        <v>531</v>
      </c>
      <c r="B80" s="13" t="s">
        <v>64</v>
      </c>
      <c r="C80" s="2" t="s">
        <v>1035</v>
      </c>
      <c r="D80" s="51" t="s">
        <v>96</v>
      </c>
      <c r="E80" s="51"/>
    </row>
    <row r="81" spans="1:5" ht="18.75" customHeight="1" x14ac:dyDescent="0.3">
      <c r="A81" s="13" t="s">
        <v>540</v>
      </c>
      <c r="B81" s="13" t="s">
        <v>64</v>
      </c>
      <c r="C81" s="2" t="s">
        <v>1036</v>
      </c>
      <c r="D81" s="51" t="s">
        <v>96</v>
      </c>
      <c r="E81" s="51"/>
    </row>
    <row r="82" spans="1:5" ht="18.75" customHeight="1" x14ac:dyDescent="0.3">
      <c r="A82" s="13" t="s">
        <v>546</v>
      </c>
      <c r="B82" s="13" t="s">
        <v>64</v>
      </c>
      <c r="C82" s="2" t="s">
        <v>1037</v>
      </c>
      <c r="D82" s="51" t="s">
        <v>96</v>
      </c>
      <c r="E82" s="51"/>
    </row>
    <row r="83" spans="1:5" ht="18.75" customHeight="1" x14ac:dyDescent="0.3">
      <c r="A83" s="13" t="s">
        <v>552</v>
      </c>
      <c r="B83" s="13" t="s">
        <v>60</v>
      </c>
      <c r="C83" s="2" t="s">
        <v>1038</v>
      </c>
      <c r="D83" s="51" t="s">
        <v>96</v>
      </c>
      <c r="E83" s="51"/>
    </row>
    <row r="84" spans="1:5" ht="18.75" customHeight="1" x14ac:dyDescent="0.3">
      <c r="A84" s="13" t="s">
        <v>617</v>
      </c>
      <c r="B84" s="13" t="s">
        <v>62</v>
      </c>
      <c r="C84" s="2" t="s">
        <v>1039</v>
      </c>
      <c r="D84" s="51" t="s">
        <v>98</v>
      </c>
      <c r="E84" s="51"/>
    </row>
    <row r="85" spans="1:5" ht="18.75" customHeight="1" x14ac:dyDescent="0.3">
      <c r="A85" s="13" t="s">
        <v>625</v>
      </c>
      <c r="B85" s="13" t="s">
        <v>62</v>
      </c>
      <c r="C85" s="2" t="s">
        <v>1040</v>
      </c>
      <c r="D85" s="51" t="s">
        <v>98</v>
      </c>
      <c r="E85" s="51"/>
    </row>
    <row r="86" spans="1:5" ht="18.75" customHeight="1" x14ac:dyDescent="0.3">
      <c r="A86" s="13" t="s">
        <v>631</v>
      </c>
      <c r="B86" s="13" t="s">
        <v>64</v>
      </c>
      <c r="C86" s="2" t="s">
        <v>1041</v>
      </c>
      <c r="D86" s="51" t="s">
        <v>98</v>
      </c>
      <c r="E86" s="51"/>
    </row>
    <row r="87" spans="1:5" ht="18.75" customHeight="1" x14ac:dyDescent="0.3">
      <c r="A87" s="13" t="s">
        <v>636</v>
      </c>
      <c r="B87" s="13" t="s">
        <v>62</v>
      </c>
      <c r="C87" s="2" t="s">
        <v>1042</v>
      </c>
      <c r="D87" s="51" t="s">
        <v>98</v>
      </c>
      <c r="E87" s="51"/>
    </row>
    <row r="88" spans="1:5" ht="18.75" customHeight="1" x14ac:dyDescent="0.3">
      <c r="A88" s="13" t="s">
        <v>643</v>
      </c>
      <c r="B88" s="13" t="s">
        <v>60</v>
      </c>
      <c r="C88" s="2" t="s">
        <v>1043</v>
      </c>
      <c r="D88" s="51" t="s">
        <v>98</v>
      </c>
      <c r="E88" s="51"/>
    </row>
    <row r="89" spans="1:5" ht="18.75" customHeight="1" x14ac:dyDescent="0.3">
      <c r="A89" s="13" t="s">
        <v>648</v>
      </c>
      <c r="B89" s="13" t="s">
        <v>62</v>
      </c>
      <c r="C89" s="2" t="s">
        <v>1044</v>
      </c>
      <c r="D89" s="51" t="s">
        <v>98</v>
      </c>
      <c r="E89" s="51"/>
    </row>
    <row r="90" spans="1:5" ht="18.75" customHeight="1" x14ac:dyDescent="0.3">
      <c r="A90" s="13" t="s">
        <v>690</v>
      </c>
      <c r="B90" s="13" t="s">
        <v>62</v>
      </c>
      <c r="C90" s="2" t="s">
        <v>1045</v>
      </c>
      <c r="D90" s="51" t="s">
        <v>101</v>
      </c>
      <c r="E90" s="51"/>
    </row>
    <row r="91" spans="1:5" ht="18.75" customHeight="1" x14ac:dyDescent="0.3">
      <c r="A91" s="13" t="s">
        <v>699</v>
      </c>
      <c r="B91" s="13" t="s">
        <v>60</v>
      </c>
      <c r="C91" s="2" t="s">
        <v>1046</v>
      </c>
      <c r="D91" s="51" t="s">
        <v>101</v>
      </c>
      <c r="E91" s="51"/>
    </row>
    <row r="92" spans="1:5" ht="18.75" customHeight="1" x14ac:dyDescent="0.3">
      <c r="A92" s="13" t="s">
        <v>705</v>
      </c>
      <c r="B92" s="13" t="s">
        <v>64</v>
      </c>
      <c r="C92" s="2" t="s">
        <v>1047</v>
      </c>
      <c r="D92" s="51" t="s">
        <v>101</v>
      </c>
      <c r="E92" s="51"/>
    </row>
    <row r="93" spans="1:5" ht="18.75" customHeight="1" x14ac:dyDescent="0.3">
      <c r="A93" s="13" t="s">
        <v>711</v>
      </c>
      <c r="B93" s="13" t="s">
        <v>62</v>
      </c>
      <c r="C93" s="2" t="s">
        <v>1048</v>
      </c>
      <c r="D93" s="51" t="s">
        <v>101</v>
      </c>
      <c r="E93" s="51"/>
    </row>
    <row r="94" spans="1:5" ht="18.75" customHeight="1" x14ac:dyDescent="0.3">
      <c r="A94" s="13" t="s">
        <v>721</v>
      </c>
      <c r="B94" s="13" t="s">
        <v>62</v>
      </c>
      <c r="C94" s="2" t="s">
        <v>1049</v>
      </c>
      <c r="D94" s="51" t="s">
        <v>101</v>
      </c>
      <c r="E94" s="51"/>
    </row>
    <row r="95" spans="1:5" ht="18.75" customHeight="1" x14ac:dyDescent="0.3">
      <c r="A95" s="13" t="s">
        <v>728</v>
      </c>
      <c r="B95" s="13" t="s">
        <v>60</v>
      </c>
      <c r="C95" s="2" t="s">
        <v>1050</v>
      </c>
      <c r="D95" s="51" t="s">
        <v>101</v>
      </c>
      <c r="E95" s="51"/>
    </row>
    <row r="96" spans="1:5" ht="18.75" customHeight="1" x14ac:dyDescent="0.3">
      <c r="A96" s="13" t="s">
        <v>766</v>
      </c>
      <c r="B96" s="13" t="s">
        <v>62</v>
      </c>
      <c r="C96" s="2" t="s">
        <v>1051</v>
      </c>
      <c r="D96" s="51" t="s">
        <v>103</v>
      </c>
      <c r="E96" s="51"/>
    </row>
    <row r="97" spans="1:5" ht="18.75" customHeight="1" x14ac:dyDescent="0.3">
      <c r="A97" s="13" t="s">
        <v>774</v>
      </c>
      <c r="B97" s="13" t="s">
        <v>62</v>
      </c>
      <c r="C97" s="2" t="s">
        <v>1052</v>
      </c>
      <c r="D97" s="51" t="s">
        <v>103</v>
      </c>
      <c r="E97" s="51"/>
    </row>
    <row r="98" spans="1:5" ht="18.75" customHeight="1" x14ac:dyDescent="0.3">
      <c r="A98" s="13" t="s">
        <v>783</v>
      </c>
      <c r="B98" s="13" t="s">
        <v>60</v>
      </c>
      <c r="C98" s="2" t="s">
        <v>1053</v>
      </c>
      <c r="D98" s="51" t="s">
        <v>103</v>
      </c>
      <c r="E98" s="51"/>
    </row>
    <row r="99" spans="1:5" ht="18.75" customHeight="1" x14ac:dyDescent="0.3">
      <c r="A99" s="13" t="s">
        <v>789</v>
      </c>
      <c r="B99" s="13" t="s">
        <v>64</v>
      </c>
      <c r="C99" s="2" t="s">
        <v>1054</v>
      </c>
      <c r="D99" s="51" t="s">
        <v>103</v>
      </c>
      <c r="E99" s="51"/>
    </row>
    <row r="100" spans="1:5" ht="18.75" customHeight="1" x14ac:dyDescent="0.3">
      <c r="A100" s="13" t="s">
        <v>833</v>
      </c>
      <c r="B100" s="13" t="s">
        <v>64</v>
      </c>
      <c r="C100" s="2" t="s">
        <v>1055</v>
      </c>
      <c r="D100" s="51" t="s">
        <v>105</v>
      </c>
      <c r="E100" s="51"/>
    </row>
    <row r="101" spans="1:5" ht="18.75" customHeight="1" x14ac:dyDescent="0.3">
      <c r="A101" s="13" t="s">
        <v>840</v>
      </c>
      <c r="B101" s="13" t="s">
        <v>62</v>
      </c>
      <c r="C101" s="2" t="s">
        <v>1056</v>
      </c>
      <c r="D101" s="51" t="s">
        <v>105</v>
      </c>
      <c r="E101" s="51"/>
    </row>
    <row r="102" spans="1:5" ht="18.75" customHeight="1" x14ac:dyDescent="0.3">
      <c r="A102" s="13" t="s">
        <v>849</v>
      </c>
      <c r="B102" s="13" t="s">
        <v>62</v>
      </c>
      <c r="C102" s="2" t="s">
        <v>1057</v>
      </c>
      <c r="D102" s="51" t="s">
        <v>105</v>
      </c>
      <c r="E102" s="51"/>
    </row>
    <row r="104" spans="1:5" ht="15" customHeight="1" x14ac:dyDescent="0.3">
      <c r="A104" s="53" t="s">
        <v>1058</v>
      </c>
      <c r="B104" s="53"/>
      <c r="C104" s="53"/>
      <c r="D104" s="53"/>
      <c r="E104" s="53"/>
    </row>
    <row r="105" spans="1:5" ht="48" customHeight="1" x14ac:dyDescent="0.3">
      <c r="A105" s="13" t="s">
        <v>1059</v>
      </c>
      <c r="B105" s="51" t="s">
        <v>1060</v>
      </c>
      <c r="C105" s="51"/>
      <c r="D105" s="51"/>
      <c r="E105" s="51"/>
    </row>
    <row r="106" spans="1:5" ht="48" customHeight="1" x14ac:dyDescent="0.3">
      <c r="A106" s="13" t="s">
        <v>1061</v>
      </c>
      <c r="B106" s="51" t="s">
        <v>1062</v>
      </c>
      <c r="C106" s="51"/>
      <c r="D106" s="51"/>
      <c r="E106" s="51"/>
    </row>
    <row r="107" spans="1:5" ht="48" customHeight="1" x14ac:dyDescent="0.3">
      <c r="A107" s="13" t="s">
        <v>1063</v>
      </c>
      <c r="B107" s="51" t="s">
        <v>1064</v>
      </c>
      <c r="C107" s="51"/>
      <c r="D107" s="51"/>
      <c r="E107" s="51"/>
    </row>
    <row r="108" spans="1:5" ht="33.75" customHeight="1" x14ac:dyDescent="0.3">
      <c r="A108" s="13" t="s">
        <v>1065</v>
      </c>
      <c r="B108" s="51" t="s">
        <v>1066</v>
      </c>
      <c r="C108" s="51"/>
      <c r="D108" s="51"/>
      <c r="E108" s="51"/>
    </row>
    <row r="109" spans="1:5" ht="48" customHeight="1" x14ac:dyDescent="0.3">
      <c r="A109" s="13" t="s">
        <v>1067</v>
      </c>
      <c r="B109" s="51" t="s">
        <v>1068</v>
      </c>
      <c r="C109" s="51"/>
      <c r="D109" s="51"/>
      <c r="E109" s="51"/>
    </row>
    <row r="110" spans="1:5" ht="33.75" customHeight="1" x14ac:dyDescent="0.3">
      <c r="A110" s="13" t="s">
        <v>1069</v>
      </c>
      <c r="B110" s="51" t="s">
        <v>1070</v>
      </c>
      <c r="C110" s="51"/>
      <c r="D110" s="51"/>
      <c r="E110" s="51"/>
    </row>
    <row r="112" spans="1:5" ht="15" customHeight="1" x14ac:dyDescent="0.3">
      <c r="A112" s="53" t="s">
        <v>1071</v>
      </c>
      <c r="B112" s="53"/>
      <c r="C112" s="53"/>
      <c r="D112" s="53"/>
      <c r="E112" s="53"/>
    </row>
    <row r="113" spans="1:5" x14ac:dyDescent="0.3">
      <c r="A113" s="3" t="s">
        <v>16</v>
      </c>
      <c r="B113" s="3" t="s">
        <v>1072</v>
      </c>
      <c r="C113" s="3" t="s">
        <v>866</v>
      </c>
      <c r="D113" s="3" t="s">
        <v>1073</v>
      </c>
    </row>
    <row r="114" spans="1:5" ht="19.5" customHeight="1" x14ac:dyDescent="0.3">
      <c r="A114" s="13" t="s">
        <v>296</v>
      </c>
      <c r="B114" s="13" t="s">
        <v>62</v>
      </c>
      <c r="C114" s="2" t="s">
        <v>1074</v>
      </c>
      <c r="D114" s="2"/>
    </row>
    <row r="115" spans="1:5" ht="33.75" customHeight="1" x14ac:dyDescent="0.3">
      <c r="A115" s="13" t="s">
        <v>705</v>
      </c>
      <c r="B115" s="13" t="s">
        <v>62</v>
      </c>
      <c r="C115" s="2" t="s">
        <v>1075</v>
      </c>
      <c r="D115" s="2" t="s">
        <v>967</v>
      </c>
    </row>
    <row r="116" spans="1:5" ht="19.5" customHeight="1" x14ac:dyDescent="0.3">
      <c r="A116" s="13" t="s">
        <v>774</v>
      </c>
      <c r="B116" s="13" t="s">
        <v>62</v>
      </c>
      <c r="C116" s="2" t="s">
        <v>1076</v>
      </c>
      <c r="D116" s="2" t="s">
        <v>973</v>
      </c>
    </row>
    <row r="117" spans="1:5" ht="19.5" customHeight="1" x14ac:dyDescent="0.3">
      <c r="A117" s="13" t="s">
        <v>617</v>
      </c>
      <c r="B117" s="13" t="s">
        <v>62</v>
      </c>
      <c r="C117" s="2" t="s">
        <v>1077</v>
      </c>
      <c r="D117" s="2" t="s">
        <v>964</v>
      </c>
    </row>
    <row r="118" spans="1:5" ht="19.5" customHeight="1" x14ac:dyDescent="0.3">
      <c r="A118" s="13" t="s">
        <v>278</v>
      </c>
      <c r="B118" s="13" t="s">
        <v>60</v>
      </c>
      <c r="C118" s="2" t="s">
        <v>1078</v>
      </c>
      <c r="D118" s="2" t="s">
        <v>949</v>
      </c>
    </row>
    <row r="119" spans="1:5" ht="19.5" customHeight="1" x14ac:dyDescent="0.3">
      <c r="A119" s="13" t="s">
        <v>459</v>
      </c>
      <c r="B119" s="13" t="s">
        <v>60</v>
      </c>
      <c r="C119" s="2" t="s">
        <v>1079</v>
      </c>
      <c r="D119" s="2" t="s">
        <v>958</v>
      </c>
    </row>
    <row r="120" spans="1:5" ht="33.75" customHeight="1" x14ac:dyDescent="0.3">
      <c r="A120" s="13" t="s">
        <v>690</v>
      </c>
      <c r="B120" s="13" t="s">
        <v>60</v>
      </c>
      <c r="C120" s="2" t="s">
        <v>1080</v>
      </c>
      <c r="D120" s="2"/>
    </row>
    <row r="121" spans="1:5" ht="33.75" customHeight="1" x14ac:dyDescent="0.3">
      <c r="A121" s="13" t="s">
        <v>699</v>
      </c>
      <c r="B121" s="13" t="s">
        <v>60</v>
      </c>
      <c r="C121" s="2" t="s">
        <v>1081</v>
      </c>
      <c r="D121" s="2" t="s">
        <v>970</v>
      </c>
    </row>
    <row r="122" spans="1:5" ht="33.75" customHeight="1" x14ac:dyDescent="0.3">
      <c r="A122" s="13" t="s">
        <v>728</v>
      </c>
      <c r="B122" s="13" t="s">
        <v>60</v>
      </c>
      <c r="C122" s="2" t="s">
        <v>1082</v>
      </c>
      <c r="D122" s="2"/>
    </row>
    <row r="123" spans="1:5" ht="33.75" customHeight="1" x14ac:dyDescent="0.3">
      <c r="A123" s="13" t="s">
        <v>849</v>
      </c>
      <c r="B123" s="13" t="s">
        <v>60</v>
      </c>
      <c r="C123" s="2" t="s">
        <v>1083</v>
      </c>
      <c r="D123" s="2"/>
    </row>
    <row r="125" spans="1:5" ht="31.5" customHeight="1" x14ac:dyDescent="0.3">
      <c r="A125" s="56" t="s">
        <v>1084</v>
      </c>
      <c r="B125" s="56"/>
      <c r="C125" s="56"/>
      <c r="D125" s="56"/>
      <c r="E125" s="56"/>
    </row>
  </sheetData>
  <mergeCells count="106">
    <mergeCell ref="A1:E1"/>
    <mergeCell ref="A2:E2"/>
    <mergeCell ref="A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A23:E23"/>
    <mergeCell ref="D24:E24"/>
    <mergeCell ref="D25:E25"/>
    <mergeCell ref="D26:E26"/>
    <mergeCell ref="D27:E27"/>
    <mergeCell ref="D28:E28"/>
    <mergeCell ref="D29:E29"/>
    <mergeCell ref="D30:E30"/>
    <mergeCell ref="D31:E31"/>
    <mergeCell ref="D32:E32"/>
    <mergeCell ref="A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A51:E51"/>
    <mergeCell ref="D52:E52"/>
    <mergeCell ref="D53:E53"/>
    <mergeCell ref="D54:E54"/>
    <mergeCell ref="D55:E55"/>
    <mergeCell ref="D56:E56"/>
    <mergeCell ref="A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B106:E106"/>
    <mergeCell ref="B107:E107"/>
    <mergeCell ref="B108:E108"/>
    <mergeCell ref="B109:E109"/>
    <mergeCell ref="B110:E110"/>
    <mergeCell ref="A112:E112"/>
    <mergeCell ref="A125:E125"/>
    <mergeCell ref="D96:E96"/>
    <mergeCell ref="D97:E97"/>
    <mergeCell ref="D98:E98"/>
    <mergeCell ref="D99:E99"/>
    <mergeCell ref="D100:E100"/>
    <mergeCell ref="D101:E101"/>
    <mergeCell ref="D102:E102"/>
    <mergeCell ref="A104:E104"/>
    <mergeCell ref="B105:E10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9</vt:i4>
      </vt:variant>
    </vt:vector>
  </HeadingPairs>
  <TitlesOfParts>
    <vt:vector size="21" baseType="lpstr">
      <vt:lpstr>Guía</vt:lpstr>
      <vt:lpstr>Resumen</vt:lpstr>
      <vt:lpstr>E1-HU1</vt:lpstr>
      <vt:lpstr>E1-HU2</vt:lpstr>
      <vt:lpstr>E1-HU3</vt:lpstr>
      <vt:lpstr>E1-HU4</vt:lpstr>
      <vt:lpstr>E2-HU1</vt:lpstr>
      <vt:lpstr>E2-HU2</vt:lpstr>
      <vt:lpstr>E2-HU3</vt:lpstr>
      <vt:lpstr>E2-HU4</vt:lpstr>
      <vt:lpstr>Formato en blanco</vt:lpstr>
      <vt:lpstr>Revisión QA</vt:lpstr>
      <vt:lpstr>'E1-HU1'!Títulos_a_imprimir</vt:lpstr>
      <vt:lpstr>'E1-HU2'!Títulos_a_imprimir</vt:lpstr>
      <vt:lpstr>'E1-HU3'!Títulos_a_imprimir</vt:lpstr>
      <vt:lpstr>'E1-HU4'!Títulos_a_imprimir</vt:lpstr>
      <vt:lpstr>'E2-HU1'!Títulos_a_imprimir</vt:lpstr>
      <vt:lpstr>'E2-HU2'!Títulos_a_imprimir</vt:lpstr>
      <vt:lpstr>'E2-HU3'!Títulos_a_imprimir</vt:lpstr>
      <vt:lpstr>'E2-HU4'!Títulos_a_imprimir</vt:lpstr>
      <vt:lpstr>'Formato en blanco'!Títulos_a_imprimir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ISSA CAMILA CAMPO ALEGRIA</cp:lastModifiedBy>
  <cp:revision>4</cp:revision>
  <dcterms:created xsi:type="dcterms:W3CDTF">2026-10-20T23:37:22Z</dcterms:created>
  <dcterms:modified xsi:type="dcterms:W3CDTF">2026-10-29T00:23:15Z</dcterms:modified>
  <dc:language>en-US</dc:language>
</cp:coreProperties>
</file>